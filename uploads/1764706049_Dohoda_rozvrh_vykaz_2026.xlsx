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teacz-my.sharepoint.com/personal/renatapavelek_axtea_cz/Documents/Dokumenty/Pracovní/Web/Aktuálně/"/>
    </mc:Choice>
  </mc:AlternateContent>
  <xr:revisionPtr revIDLastSave="148" documentId="8_{0EAF3A4E-9434-4E47-ABB8-88291AF816B1}" xr6:coauthVersionLast="47" xr6:coauthVersionMax="47" xr10:uidLastSave="{AACD000C-4B77-457E-8965-2A8E829900C2}"/>
  <bookViews>
    <workbookView xWindow="-120" yWindow="-120" windowWidth="29040" windowHeight="15720" activeTab="11" xr2:uid="{00000000-000D-0000-FFFF-FFFF00000000}"/>
  </bookViews>
  <sheets>
    <sheet name="01" sheetId="80" r:id="rId1"/>
    <sheet name="02" sheetId="81" r:id="rId2"/>
    <sheet name="03" sheetId="82" r:id="rId3"/>
    <sheet name="04" sheetId="83" r:id="rId4"/>
    <sheet name="05" sheetId="84" r:id="rId5"/>
    <sheet name="06" sheetId="85" r:id="rId6"/>
    <sheet name="07" sheetId="86" r:id="rId7"/>
    <sheet name="08" sheetId="87" r:id="rId8"/>
    <sheet name="09" sheetId="88" r:id="rId9"/>
    <sheet name="10" sheetId="89" r:id="rId10"/>
    <sheet name="11" sheetId="90" r:id="rId11"/>
    <sheet name="12" sheetId="91" r:id="rId12"/>
    <sheet name="legenda" sheetId="9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8" i="91" l="1"/>
  <c r="S38" i="90"/>
  <c r="S38" i="89"/>
  <c r="S38" i="88"/>
  <c r="S38" i="87"/>
  <c r="S38" i="86"/>
  <c r="S38" i="85"/>
  <c r="S38" i="84"/>
  <c r="S38" i="83"/>
  <c r="S38" i="82"/>
  <c r="S37" i="91"/>
  <c r="S36" i="91"/>
  <c r="S35" i="91"/>
  <c r="S34" i="91"/>
  <c r="S33" i="91"/>
  <c r="S32" i="91"/>
  <c r="S31" i="91"/>
  <c r="S30" i="91"/>
  <c r="S29" i="91"/>
  <c r="S28" i="91"/>
  <c r="S27" i="91"/>
  <c r="S26" i="91"/>
  <c r="S25" i="91"/>
  <c r="S24" i="91"/>
  <c r="S23" i="91"/>
  <c r="S22" i="91"/>
  <c r="S21" i="91"/>
  <c r="S20" i="91"/>
  <c r="S19" i="91"/>
  <c r="S18" i="91"/>
  <c r="S17" i="91"/>
  <c r="S16" i="91"/>
  <c r="S15" i="91"/>
  <c r="S14" i="91"/>
  <c r="S13" i="91"/>
  <c r="S12" i="91"/>
  <c r="S11" i="91"/>
  <c r="S10" i="91"/>
  <c r="S9" i="91"/>
  <c r="S8" i="91"/>
  <c r="S37" i="90"/>
  <c r="S36" i="90"/>
  <c r="S35" i="90"/>
  <c r="S34" i="90"/>
  <c r="S33" i="90"/>
  <c r="S32" i="90"/>
  <c r="S31" i="90"/>
  <c r="S30" i="90"/>
  <c r="S29" i="90"/>
  <c r="S28" i="90"/>
  <c r="S27" i="90"/>
  <c r="S26" i="90"/>
  <c r="S25" i="90"/>
  <c r="S24" i="90"/>
  <c r="S23" i="90"/>
  <c r="S22" i="90"/>
  <c r="S21" i="90"/>
  <c r="S20" i="90"/>
  <c r="S19" i="90"/>
  <c r="S18" i="90"/>
  <c r="S17" i="90"/>
  <c r="S16" i="90"/>
  <c r="S15" i="90"/>
  <c r="S14" i="90"/>
  <c r="S13" i="90"/>
  <c r="S12" i="90"/>
  <c r="S11" i="90"/>
  <c r="S10" i="90"/>
  <c r="S9" i="90"/>
  <c r="S8" i="90"/>
  <c r="S37" i="89"/>
  <c r="S36" i="89"/>
  <c r="S35" i="89"/>
  <c r="S34" i="89"/>
  <c r="S33" i="89"/>
  <c r="S32" i="89"/>
  <c r="S31" i="89"/>
  <c r="S30" i="89"/>
  <c r="S29" i="89"/>
  <c r="S28" i="89"/>
  <c r="S27" i="89"/>
  <c r="S26" i="89"/>
  <c r="S25" i="89"/>
  <c r="S24" i="89"/>
  <c r="S23" i="89"/>
  <c r="S22" i="89"/>
  <c r="S21" i="89"/>
  <c r="S20" i="89"/>
  <c r="S19" i="89"/>
  <c r="S18" i="89"/>
  <c r="S17" i="89"/>
  <c r="S16" i="89"/>
  <c r="S15" i="89"/>
  <c r="S14" i="89"/>
  <c r="S13" i="89"/>
  <c r="S12" i="89"/>
  <c r="S11" i="89"/>
  <c r="S10" i="89"/>
  <c r="S9" i="89"/>
  <c r="S8" i="89"/>
  <c r="S37" i="88"/>
  <c r="S36" i="88"/>
  <c r="S35" i="88"/>
  <c r="S34" i="88"/>
  <c r="S33" i="88"/>
  <c r="S32" i="88"/>
  <c r="S31" i="88"/>
  <c r="S30" i="88"/>
  <c r="S29" i="88"/>
  <c r="S28" i="88"/>
  <c r="S27" i="88"/>
  <c r="S26" i="88"/>
  <c r="S25" i="88"/>
  <c r="S24" i="88"/>
  <c r="S23" i="88"/>
  <c r="S22" i="88"/>
  <c r="S21" i="88"/>
  <c r="S20" i="88"/>
  <c r="S19" i="88"/>
  <c r="S18" i="88"/>
  <c r="S17" i="88"/>
  <c r="S16" i="88"/>
  <c r="S15" i="88"/>
  <c r="S14" i="88"/>
  <c r="S13" i="88"/>
  <c r="S12" i="88"/>
  <c r="S11" i="88"/>
  <c r="S10" i="88"/>
  <c r="S9" i="88"/>
  <c r="S8" i="88"/>
  <c r="S37" i="87"/>
  <c r="S36" i="87"/>
  <c r="S35" i="87"/>
  <c r="S34" i="87"/>
  <c r="S33" i="87"/>
  <c r="S32" i="87"/>
  <c r="S31" i="87"/>
  <c r="S30" i="87"/>
  <c r="S29" i="87"/>
  <c r="S28" i="87"/>
  <c r="S27" i="87"/>
  <c r="S26" i="87"/>
  <c r="S25" i="87"/>
  <c r="S24" i="87"/>
  <c r="S23" i="87"/>
  <c r="S22" i="87"/>
  <c r="S21" i="87"/>
  <c r="S20" i="87"/>
  <c r="S19" i="87"/>
  <c r="S18" i="87"/>
  <c r="S17" i="87"/>
  <c r="S16" i="87"/>
  <c r="S15" i="87"/>
  <c r="S14" i="87"/>
  <c r="S13" i="87"/>
  <c r="S12" i="87"/>
  <c r="S11" i="87"/>
  <c r="S10" i="87"/>
  <c r="S9" i="87"/>
  <c r="S8" i="87"/>
  <c r="S37" i="86"/>
  <c r="S36" i="86"/>
  <c r="S35" i="86"/>
  <c r="S34" i="86"/>
  <c r="S33" i="86"/>
  <c r="S32" i="86"/>
  <c r="S31" i="86"/>
  <c r="S30" i="86"/>
  <c r="S29" i="86"/>
  <c r="S28" i="86"/>
  <c r="S27" i="86"/>
  <c r="S26" i="86"/>
  <c r="S25" i="86"/>
  <c r="S24" i="86"/>
  <c r="S23" i="86"/>
  <c r="S22" i="86"/>
  <c r="S21" i="86"/>
  <c r="S20" i="86"/>
  <c r="S19" i="86"/>
  <c r="S18" i="86"/>
  <c r="S17" i="86"/>
  <c r="S16" i="86"/>
  <c r="S15" i="86"/>
  <c r="S14" i="86"/>
  <c r="S13" i="86"/>
  <c r="S12" i="86"/>
  <c r="S11" i="86"/>
  <c r="S10" i="86"/>
  <c r="S9" i="86"/>
  <c r="S8" i="86"/>
  <c r="S37" i="85"/>
  <c r="S36" i="85"/>
  <c r="S35" i="85"/>
  <c r="S34" i="85"/>
  <c r="S33" i="85"/>
  <c r="S32" i="85"/>
  <c r="S31" i="85"/>
  <c r="S30" i="85"/>
  <c r="S29" i="85"/>
  <c r="S28" i="85"/>
  <c r="S27" i="85"/>
  <c r="S26" i="85"/>
  <c r="S25" i="85"/>
  <c r="S24" i="85"/>
  <c r="S23" i="85"/>
  <c r="S22" i="85"/>
  <c r="S21" i="85"/>
  <c r="S20" i="85"/>
  <c r="S19" i="85"/>
  <c r="S18" i="85"/>
  <c r="S17" i="85"/>
  <c r="S16" i="85"/>
  <c r="S15" i="85"/>
  <c r="S14" i="85"/>
  <c r="S13" i="85"/>
  <c r="S12" i="85"/>
  <c r="S11" i="85"/>
  <c r="S10" i="85"/>
  <c r="S9" i="85"/>
  <c r="S8" i="85"/>
  <c r="S37" i="84"/>
  <c r="S36" i="84"/>
  <c r="S35" i="84"/>
  <c r="S34" i="84"/>
  <c r="S33" i="84"/>
  <c r="S32" i="84"/>
  <c r="S31" i="84"/>
  <c r="S30" i="84"/>
  <c r="S29" i="84"/>
  <c r="S28" i="84"/>
  <c r="S27" i="84"/>
  <c r="S26" i="84"/>
  <c r="S25" i="84"/>
  <c r="S24" i="84"/>
  <c r="S23" i="84"/>
  <c r="S22" i="84"/>
  <c r="S21" i="84"/>
  <c r="S20" i="84"/>
  <c r="S19" i="84"/>
  <c r="S18" i="84"/>
  <c r="S17" i="84"/>
  <c r="S16" i="84"/>
  <c r="S15" i="84"/>
  <c r="S14" i="84"/>
  <c r="S13" i="84"/>
  <c r="S12" i="84"/>
  <c r="S11" i="84"/>
  <c r="S10" i="84"/>
  <c r="S9" i="84"/>
  <c r="S8" i="84"/>
  <c r="S37" i="83"/>
  <c r="S36" i="83"/>
  <c r="S35" i="83"/>
  <c r="S34" i="83"/>
  <c r="S33" i="83"/>
  <c r="S32" i="83"/>
  <c r="S31" i="83"/>
  <c r="S30" i="83"/>
  <c r="S29" i="83"/>
  <c r="S28" i="83"/>
  <c r="S27" i="83"/>
  <c r="S26" i="83"/>
  <c r="S25" i="83"/>
  <c r="S24" i="83"/>
  <c r="S23" i="83"/>
  <c r="S22" i="83"/>
  <c r="S21" i="83"/>
  <c r="S20" i="83"/>
  <c r="S19" i="83"/>
  <c r="S18" i="83"/>
  <c r="S17" i="83"/>
  <c r="S16" i="83"/>
  <c r="S15" i="83"/>
  <c r="S14" i="83"/>
  <c r="S13" i="83"/>
  <c r="S12" i="83"/>
  <c r="S11" i="83"/>
  <c r="S10" i="83"/>
  <c r="S9" i="83"/>
  <c r="S8" i="83"/>
  <c r="S37" i="82"/>
  <c r="S36" i="82"/>
  <c r="S35" i="82"/>
  <c r="S34" i="82"/>
  <c r="S33" i="82"/>
  <c r="S32" i="82"/>
  <c r="S31" i="82"/>
  <c r="S30" i="82"/>
  <c r="S29" i="82"/>
  <c r="S28" i="82"/>
  <c r="S27" i="82"/>
  <c r="S26" i="82"/>
  <c r="S25" i="82"/>
  <c r="S24" i="82"/>
  <c r="S23" i="82"/>
  <c r="S22" i="82"/>
  <c r="S21" i="82"/>
  <c r="S20" i="82"/>
  <c r="S19" i="82"/>
  <c r="S18" i="82"/>
  <c r="S17" i="82"/>
  <c r="S16" i="82"/>
  <c r="S15" i="82"/>
  <c r="S14" i="82"/>
  <c r="S13" i="82"/>
  <c r="S12" i="82"/>
  <c r="S11" i="82"/>
  <c r="S10" i="82"/>
  <c r="S9" i="82"/>
  <c r="S8" i="82"/>
  <c r="S38" i="81"/>
  <c r="S37" i="81"/>
  <c r="S36" i="81"/>
  <c r="S35" i="81"/>
  <c r="S34" i="81"/>
  <c r="S33" i="81"/>
  <c r="S32" i="81"/>
  <c r="S31" i="81"/>
  <c r="S30" i="81"/>
  <c r="S29" i="81"/>
  <c r="S28" i="81"/>
  <c r="S27" i="81"/>
  <c r="S26" i="81"/>
  <c r="S25" i="81"/>
  <c r="S24" i="81"/>
  <c r="S23" i="81"/>
  <c r="S22" i="81"/>
  <c r="S21" i="81"/>
  <c r="S20" i="81"/>
  <c r="S19" i="81"/>
  <c r="S18" i="81"/>
  <c r="S17" i="81"/>
  <c r="S16" i="81"/>
  <c r="S15" i="81"/>
  <c r="S14" i="81"/>
  <c r="S13" i="81"/>
  <c r="S12" i="81"/>
  <c r="S11" i="81"/>
  <c r="S10" i="81"/>
  <c r="S9" i="81"/>
  <c r="S8" i="81"/>
  <c r="S9" i="80"/>
  <c r="S10" i="80"/>
  <c r="S11" i="80"/>
  <c r="S12" i="80"/>
  <c r="S13" i="80"/>
  <c r="S14" i="80"/>
  <c r="S15" i="80"/>
  <c r="S16" i="80"/>
  <c r="S17" i="80"/>
  <c r="S18" i="80"/>
  <c r="S19" i="80"/>
  <c r="S20" i="80"/>
  <c r="S21" i="80"/>
  <c r="S22" i="80"/>
  <c r="S23" i="80"/>
  <c r="S24" i="80"/>
  <c r="S25" i="80"/>
  <c r="S26" i="80"/>
  <c r="S27" i="80"/>
  <c r="S28" i="80"/>
  <c r="S29" i="80"/>
  <c r="S30" i="80"/>
  <c r="S31" i="80"/>
  <c r="S32" i="80"/>
  <c r="S33" i="80"/>
  <c r="S34" i="80"/>
  <c r="S35" i="80"/>
  <c r="S36" i="80"/>
  <c r="S37" i="80"/>
  <c r="S38" i="80"/>
  <c r="S8" i="80"/>
  <c r="S39" i="91" l="1"/>
  <c r="T41" i="91" s="1"/>
  <c r="S39" i="90"/>
  <c r="T41" i="90" s="1"/>
  <c r="S39" i="89"/>
  <c r="T41" i="89" s="1"/>
  <c r="S39" i="88"/>
  <c r="T41" i="88" s="1"/>
  <c r="S39" i="87"/>
  <c r="T41" i="87" s="1"/>
  <c r="S39" i="86"/>
  <c r="T41" i="86" s="1"/>
  <c r="S39" i="85"/>
  <c r="T41" i="85" s="1"/>
  <c r="S39" i="84"/>
  <c r="T41" i="84" s="1"/>
  <c r="S39" i="83"/>
  <c r="T41" i="83" s="1"/>
  <c r="S39" i="82"/>
  <c r="T41" i="82" s="1"/>
  <c r="S39" i="81"/>
  <c r="S39" i="80"/>
  <c r="T41" i="80" s="1"/>
  <c r="T41" i="81" l="1"/>
  <c r="D1" i="92"/>
</calcChain>
</file>

<file path=xl/sharedStrings.xml><?xml version="1.0" encoding="utf-8"?>
<sst xmlns="http://schemas.openxmlformats.org/spreadsheetml/2006/main" count="728" uniqueCount="49">
  <si>
    <t>den</t>
  </si>
  <si>
    <t>středa</t>
  </si>
  <si>
    <t>čtvrtek</t>
  </si>
  <si>
    <t>pátek</t>
  </si>
  <si>
    <t>sobota</t>
  </si>
  <si>
    <t>neděle</t>
  </si>
  <si>
    <t>pondělí</t>
  </si>
  <si>
    <t>úterý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</si>
  <si>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</si>
  <si>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</si>
  <si>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</si>
  <si>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</si>
  <si>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</si>
  <si>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</si>
  <si>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</si>
  <si>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</si>
  <si>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</si>
  <si>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</si>
  <si>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</si>
  <si>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</si>
  <si>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</si>
  <si>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</si>
  <si>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datum</t>
  </si>
  <si>
    <t>hod</t>
  </si>
  <si>
    <t>21</t>
  </si>
  <si>
    <t>22</t>
  </si>
  <si>
    <t>svátek</t>
  </si>
  <si>
    <t>Jméno:</t>
  </si>
  <si>
    <t>Období:</t>
  </si>
  <si>
    <t xml:space="preserve">Rozvrh a výkaz práce dle hodin </t>
  </si>
  <si>
    <t>S rozvrhem seznámen dne:</t>
  </si>
  <si>
    <t>Výkaz hodin převzal dne:</t>
  </si>
  <si>
    <t>Podpis:</t>
  </si>
  <si>
    <t>odměna hod</t>
  </si>
  <si>
    <t>celkem</t>
  </si>
  <si>
    <t>Odpracovanou hodinu zaznamenejte číslicí 1 do příslušného pole.</t>
  </si>
  <si>
    <t>Odměnu v Kč doplňte dle podepsané dohody.</t>
  </si>
  <si>
    <t>Leden je vyplněn vzorově.</t>
  </si>
  <si>
    <t>V řádku hodin je vyznačena konečná hodina výkonu. (7 znamená 6:00 až 7:00).</t>
  </si>
  <si>
    <t>Neslouží k propočítání dovolené.</t>
  </si>
  <si>
    <t>Dovolenou případně zaznamenejte ručně na tiskový výstup.</t>
  </si>
  <si>
    <t>(Nárok po 80 odprac. hodinách, trvá-li vztah alespoň 28 dní.)</t>
  </si>
  <si>
    <t>Tabulka není uzamčena proti přepisu.</t>
  </si>
  <si>
    <t>Roční součet hodin aktuálně:</t>
  </si>
  <si>
    <t>Po 6 hodinách nutno dodržet pauzu.</t>
  </si>
  <si>
    <t>Pozor - víkendy, svátky a noční hodiny 22:00 až 6:00 znamenají příplatek.</t>
  </si>
  <si>
    <t>Stav k 01.12.2025</t>
  </si>
  <si>
    <r>
      <t xml:space="preserve">Překročení </t>
    </r>
    <r>
      <rPr>
        <b/>
        <sz val="10"/>
        <color rgb="FFFF0000"/>
        <rFont val="Arial"/>
        <family val="2"/>
        <charset val="238"/>
      </rPr>
      <t xml:space="preserve">25 hod za měsíc </t>
    </r>
    <r>
      <rPr>
        <sz val="10"/>
        <rFont val="Arial"/>
        <family val="2"/>
        <charset val="238"/>
      </rPr>
      <t>se podpůrně vyznačí červeně, ale práce s tabulkou není omezena.</t>
    </r>
  </si>
  <si>
    <r>
      <t xml:space="preserve">Stejně se chová překročení odměny </t>
    </r>
    <r>
      <rPr>
        <b/>
        <sz val="10"/>
        <color rgb="FFFF0000"/>
        <rFont val="Arial"/>
        <family val="2"/>
        <charset val="238"/>
      </rPr>
      <t>11 999,00 Kč / měsíc.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</si>
</sst>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Kč-405]_-;\-* #,##0.00\ [$Kč-405]_-;_-* &quot;-&quot;??\ [$Kč-405]_-;_-@_-"/>
  </numFmts>
  <fonts count="7">
    <font>
      <sz val="10"/>
      <name val="Arial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b/>
      <sz val="10"/>
      <name val="Arial"/>
      <family val="2"/>
      <charset val="238"/>
    </font>
    <font>
      <sz val="8"/>
      <name val="Arial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49" fontId="1" fillId="0" borderId="3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wrapText="1"/>
    </xf>
    <xf numFmtId="14" fontId="1" fillId="0" borderId="1" xfId="0" applyNumberFormat="1" applyFont="1" applyBorder="1"/>
    <xf numFmtId="1" fontId="1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3" fillId="0" borderId="0" xfId="0" applyNumberFormat="1" applyFont="1"/>
    <xf numFmtId="0" fontId="3" fillId="0" borderId="0" xfId="0" applyFont="1"/>
    <xf numFmtId="164" fontId="1" fillId="0" borderId="0" xfId="0" applyNumberFormat="1" applyFont="1"/>
    <xf numFmtId="1" fontId="0" fillId="2" borderId="0" xfId="0" applyNumberFormat="1" applyFill="1"/>
  </cellXfs>
  <cellStyles count="1">
    <cellStyle name="Normální" xfId="0" builtinId="0"/>
  </cellStyles>
  <dxfs count="25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79B7-54DF-4142-93A5-75EBBF86DA90}">
  <dimension ref="A1:T76"/>
  <sheetViews>
    <sheetView topLeftCell="A9" workbookViewId="0">
      <selection activeCell="T41" sqref="T41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>
      <c r="A6" s="2"/>
    </row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46023</v>
      </c>
      <c r="B8" s="4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 t="s">
        <v>26</v>
      </c>
    </row>
    <row r="9" spans="1:20" ht="15.95" customHeight="1">
      <c r="A9" s="8">
        <v>46024</v>
      </c>
      <c r="B9" s="4" t="s">
        <v>3</v>
      </c>
      <c r="C9" s="12"/>
      <c r="D9" s="12"/>
      <c r="E9" s="12"/>
      <c r="F9" s="12">
        <v>1</v>
      </c>
      <c r="G9" s="12">
        <v>1</v>
      </c>
      <c r="H9" s="12">
        <v>1</v>
      </c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3</v>
      </c>
      <c r="T9" s="3"/>
    </row>
    <row r="10" spans="1:20" ht="15.95" customHeight="1">
      <c r="A10" s="8">
        <v>46025</v>
      </c>
      <c r="B10" s="4" t="s">
        <v>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46026</v>
      </c>
      <c r="B11" s="4" t="s">
        <v>5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46027</v>
      </c>
      <c r="B12" s="4" t="s">
        <v>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46028</v>
      </c>
      <c r="B13" s="4" t="s">
        <v>7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46029</v>
      </c>
      <c r="B14" s="4" t="s">
        <v>1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46030</v>
      </c>
      <c r="B15" s="4" t="s">
        <v>2</v>
      </c>
      <c r="C15" s="12"/>
      <c r="D15" s="12"/>
      <c r="E15" s="12"/>
      <c r="F15" s="12"/>
      <c r="G15" s="12">
        <v>1</v>
      </c>
      <c r="H15" s="12">
        <v>1</v>
      </c>
      <c r="I15" s="12">
        <v>1</v>
      </c>
      <c r="J15" s="12">
        <v>1</v>
      </c>
      <c r="K15" s="12"/>
      <c r="L15" s="12"/>
      <c r="M15" s="12"/>
      <c r="N15" s="12"/>
      <c r="O15" s="12"/>
      <c r="P15" s="13"/>
      <c r="Q15" s="13"/>
      <c r="R15" s="13"/>
      <c r="S15" s="9">
        <f t="shared" si="0"/>
        <v>4</v>
      </c>
      <c r="T15" s="3"/>
    </row>
    <row r="16" spans="1:20" ht="15.95" customHeight="1">
      <c r="A16" s="8">
        <v>46031</v>
      </c>
      <c r="B16" s="4" t="s">
        <v>3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3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46032</v>
      </c>
      <c r="B17" s="4" t="s">
        <v>4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3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46033</v>
      </c>
      <c r="B18" s="4" t="s">
        <v>5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46034</v>
      </c>
      <c r="B19" s="4" t="s">
        <v>6</v>
      </c>
      <c r="C19" s="12"/>
      <c r="D19" s="12"/>
      <c r="E19" s="12">
        <v>1</v>
      </c>
      <c r="F19" s="12">
        <v>1</v>
      </c>
      <c r="G19" s="12">
        <v>1</v>
      </c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3</v>
      </c>
      <c r="T19" s="3"/>
    </row>
    <row r="20" spans="1:20" ht="15.95" customHeight="1">
      <c r="A20" s="8">
        <v>46035</v>
      </c>
      <c r="B20" s="4" t="s">
        <v>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46036</v>
      </c>
      <c r="B21" s="4" t="s">
        <v>1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46037</v>
      </c>
      <c r="B22" s="4" t="s">
        <v>2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46038</v>
      </c>
      <c r="B23" s="4" t="s">
        <v>3</v>
      </c>
      <c r="C23" s="12"/>
      <c r="D23" s="12"/>
      <c r="E23" s="12"/>
      <c r="F23" s="12"/>
      <c r="G23" s="12">
        <v>1</v>
      </c>
      <c r="H23" s="12">
        <v>1</v>
      </c>
      <c r="I23" s="12">
        <v>1</v>
      </c>
      <c r="J23" s="12">
        <v>1</v>
      </c>
      <c r="K23" s="12"/>
      <c r="L23" s="12"/>
      <c r="M23" s="12"/>
      <c r="N23" s="12"/>
      <c r="O23" s="12"/>
      <c r="P23" s="13"/>
      <c r="Q23" s="13"/>
      <c r="R23" s="13"/>
      <c r="S23" s="9">
        <f t="shared" si="0"/>
        <v>4</v>
      </c>
      <c r="T23" s="3"/>
    </row>
    <row r="24" spans="1:20" ht="15.95" customHeight="1">
      <c r="A24" s="8">
        <v>46039</v>
      </c>
      <c r="B24" s="4" t="s">
        <v>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46040</v>
      </c>
      <c r="B25" s="4" t="s">
        <v>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46041</v>
      </c>
      <c r="B26" s="4" t="s">
        <v>6</v>
      </c>
      <c r="C26" s="12"/>
      <c r="D26" s="12"/>
      <c r="E26" s="12"/>
      <c r="F26" s="12"/>
      <c r="G26" s="12">
        <v>1</v>
      </c>
      <c r="H26" s="12">
        <v>1</v>
      </c>
      <c r="I26" s="12">
        <v>1</v>
      </c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3</v>
      </c>
      <c r="T26" s="3"/>
    </row>
    <row r="27" spans="1:20" ht="15.95" customHeight="1">
      <c r="A27" s="8">
        <v>46042</v>
      </c>
      <c r="B27" s="4" t="s">
        <v>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46043</v>
      </c>
      <c r="B28" s="4" t="s">
        <v>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46044</v>
      </c>
      <c r="B29" s="4" t="s">
        <v>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46045</v>
      </c>
      <c r="B30" s="4" t="s">
        <v>3</v>
      </c>
      <c r="C30" s="12"/>
      <c r="D30" s="12"/>
      <c r="E30" s="12"/>
      <c r="F30" s="12"/>
      <c r="G30" s="12">
        <v>1</v>
      </c>
      <c r="H30" s="12">
        <v>1</v>
      </c>
      <c r="I30" s="12">
        <v>1</v>
      </c>
      <c r="J30" s="12">
        <v>1</v>
      </c>
      <c r="K30" s="12"/>
      <c r="L30" s="12"/>
      <c r="M30" s="12"/>
      <c r="N30" s="12"/>
      <c r="O30" s="12"/>
      <c r="P30" s="13"/>
      <c r="Q30" s="13"/>
      <c r="R30" s="13"/>
      <c r="S30" s="9">
        <f t="shared" si="0"/>
        <v>4</v>
      </c>
      <c r="T30" s="3"/>
    </row>
    <row r="31" spans="1:20" ht="15.95" customHeight="1">
      <c r="A31" s="8">
        <v>46046</v>
      </c>
      <c r="B31" s="4" t="s">
        <v>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46047</v>
      </c>
      <c r="B32" s="4" t="s">
        <v>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46048</v>
      </c>
      <c r="B33" s="4" t="s">
        <v>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46049</v>
      </c>
      <c r="B34" s="4" t="s">
        <v>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46050</v>
      </c>
      <c r="B35" s="4" t="s">
        <v>1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>
        <v>46051</v>
      </c>
      <c r="B36" s="4" t="s">
        <v>2</v>
      </c>
      <c r="C36" s="12"/>
      <c r="D36" s="12"/>
      <c r="E36" s="12">
        <v>1</v>
      </c>
      <c r="F36" s="12">
        <v>1</v>
      </c>
      <c r="G36" s="12">
        <v>1</v>
      </c>
      <c r="H36" s="12">
        <v>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4</v>
      </c>
      <c r="T36" s="3"/>
    </row>
    <row r="37" spans="1:20" ht="15.95" customHeight="1">
      <c r="A37" s="8">
        <v>46052</v>
      </c>
      <c r="B37" s="4" t="s">
        <v>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>
        <v>46053</v>
      </c>
      <c r="B38" s="4" t="s">
        <v>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25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11750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</sheetData>
  <phoneticPr fontId="4" type="noConversion"/>
  <conditionalFormatting sqref="B8:B38">
    <cfRule type="containsText" dxfId="85" priority="11" operator="containsText" text="neděle">
      <formula>NOT(ISERROR(SEARCH("neděle",B8)))</formula>
    </cfRule>
    <cfRule type="containsText" dxfId="84" priority="12" operator="containsText" text="sobota">
      <formula>NOT(ISERROR(SEARCH("sobota",B8)))</formula>
    </cfRule>
    <cfRule type="cellIs" dxfId="83" priority="15" stopIfTrue="1" operator="equal">
      <formula>"neděle"</formula>
    </cfRule>
    <cfRule type="cellIs" dxfId="82" priority="16" stopIfTrue="1" operator="equal">
      <formula>"sobota"</formula>
    </cfRule>
  </conditionalFormatting>
  <conditionalFormatting sqref="S39">
    <cfRule type="cellIs" dxfId="81" priority="10" operator="greaterThan">
      <formula>25</formula>
    </cfRule>
  </conditionalFormatting>
  <conditionalFormatting sqref="T8:T38">
    <cfRule type="containsText" dxfId="80" priority="9" operator="containsText" text="svátek">
      <formula>NOT(ISERROR(SEARCH("svátek",T8)))</formula>
    </cfRule>
  </conditionalFormatting>
  <conditionalFormatting sqref="T41">
    <cfRule type="cellIs" dxfId="79" priority="1" operator="greaterThan">
      <formula>11999</formula>
    </cfRule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8310-8183-4CF2-B85D-925338631DB5}">
  <dimension ref="A1:T74"/>
  <sheetViews>
    <sheetView topLeftCell="A13" workbookViewId="0">
      <selection activeCell="U40" sqref="U40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>
      <c r="A6" s="2"/>
    </row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46054</v>
      </c>
      <c r="B8" s="4" t="s">
        <v>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46055</v>
      </c>
      <c r="B9" s="4" t="s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46056</v>
      </c>
      <c r="B10" s="4" t="s">
        <v>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46057</v>
      </c>
      <c r="B11" s="4" t="s">
        <v>1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46058</v>
      </c>
      <c r="B12" s="4" t="s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46059</v>
      </c>
      <c r="B13" s="4" t="s">
        <v>3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46060</v>
      </c>
      <c r="B14" s="4" t="s">
        <v>4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46061</v>
      </c>
      <c r="B15" s="4" t="s">
        <v>5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46062</v>
      </c>
      <c r="B16" s="4" t="s">
        <v>6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46063</v>
      </c>
      <c r="B17" s="4" t="s">
        <v>7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46064</v>
      </c>
      <c r="B18" s="4" t="s">
        <v>1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46065</v>
      </c>
      <c r="B19" s="4" t="s">
        <v>2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46066</v>
      </c>
      <c r="B20" s="4" t="s">
        <v>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46067</v>
      </c>
      <c r="B21" s="4" t="s">
        <v>4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46068</v>
      </c>
      <c r="B22" s="4" t="s">
        <v>5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46069</v>
      </c>
      <c r="B23" s="4" t="s">
        <v>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46070</v>
      </c>
      <c r="B24" s="4" t="s">
        <v>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46071</v>
      </c>
      <c r="B25" s="4" t="s">
        <v>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46072</v>
      </c>
      <c r="B26" s="4" t="s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46073</v>
      </c>
      <c r="B27" s="4" t="s">
        <v>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46074</v>
      </c>
      <c r="B28" s="4" t="s">
        <v>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46075</v>
      </c>
      <c r="B29" s="4" t="s">
        <v>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46076</v>
      </c>
      <c r="B30" s="4" t="s">
        <v>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46077</v>
      </c>
      <c r="B31" s="4" t="s">
        <v>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46078</v>
      </c>
      <c r="B32" s="4" t="s">
        <v>1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46079</v>
      </c>
      <c r="B33" s="4" t="s">
        <v>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46080</v>
      </c>
      <c r="B34" s="4" t="s">
        <v>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46081</v>
      </c>
      <c r="B35" s="4" t="s">
        <v>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/>
      <c r="B36" s="4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/>
      <c r="B37" s="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/>
      <c r="B38" s="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</sheetData>
  <phoneticPr fontId="5" type="noConversion"/>
  <conditionalFormatting sqref="B8:B38">
    <cfRule type="containsText" dxfId="78" priority="10" operator="containsText" text="neděle">
      <formula>NOT(ISERROR(SEARCH("neděle",B8)))</formula>
    </cfRule>
    <cfRule type="containsText" dxfId="77" priority="11" operator="containsText" text="sobota">
      <formula>NOT(ISERROR(SEARCH("sobota",B8)))</formula>
    </cfRule>
    <cfRule type="cellIs" dxfId="76" priority="14" stopIfTrue="1" operator="equal">
      <formula>"neděle"</formula>
    </cfRule>
    <cfRule type="cellIs" dxfId="75" priority="15" stopIfTrue="1" operator="equal">
      <formula>"sobota"</formula>
    </cfRule>
  </conditionalFormatting>
  <conditionalFormatting sqref="S39">
    <cfRule type="cellIs" dxfId="74" priority="9" operator="greaterThan">
      <formula>25</formula>
    </cfRule>
  </conditionalFormatting>
  <conditionalFormatting sqref="T8:T38">
    <cfRule type="containsText" dxfId="73" priority="8" operator="containsText" text="svátek">
      <formula>NOT(ISERROR(SEARCH("svátek",T8)))</formula>
    </cfRule>
  </conditionalFormatting>
  <conditionalFormatting sqref="T41">
    <cfRule type="cellIs" dxfId="72" priority="1" operator="greaterThan">
      <formula>11999</formula>
    </cfRule>
    <cfRule type="cellIs" dxfId="71" priority="2" operator="greaterThan">
      <formula>11999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4EC2-4822-4B4E-BA6D-3EE69AD7C8D5}">
  <dimension ref="A1:T57"/>
  <sheetViews>
    <sheetView topLeftCell="A13" workbookViewId="0">
      <selection activeCell="R38" sqref="R38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>
      <c r="A6" s="2"/>
    </row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46082</v>
      </c>
      <c r="B8" s="4" t="s">
        <v>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46083</v>
      </c>
      <c r="B9" s="4" t="s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46084</v>
      </c>
      <c r="B10" s="4" t="s">
        <v>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46085</v>
      </c>
      <c r="B11" s="4" t="s">
        <v>1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46086</v>
      </c>
      <c r="B12" s="4" t="s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46087</v>
      </c>
      <c r="B13" s="4" t="s">
        <v>3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46088</v>
      </c>
      <c r="B14" s="4" t="s">
        <v>4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46089</v>
      </c>
      <c r="B15" s="4" t="s">
        <v>5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46090</v>
      </c>
      <c r="B16" s="4" t="s">
        <v>6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46091</v>
      </c>
      <c r="B17" s="4" t="s">
        <v>7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46092</v>
      </c>
      <c r="B18" s="4" t="s">
        <v>1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46093</v>
      </c>
      <c r="B19" s="4" t="s">
        <v>2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46094</v>
      </c>
      <c r="B20" s="4" t="s">
        <v>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46095</v>
      </c>
      <c r="B21" s="4" t="s">
        <v>4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46096</v>
      </c>
      <c r="B22" s="4" t="s">
        <v>5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46097</v>
      </c>
      <c r="B23" s="4" t="s">
        <v>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46098</v>
      </c>
      <c r="B24" s="4" t="s">
        <v>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46099</v>
      </c>
      <c r="B25" s="4" t="s">
        <v>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46100</v>
      </c>
      <c r="B26" s="4" t="s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46101</v>
      </c>
      <c r="B27" s="4" t="s">
        <v>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46102</v>
      </c>
      <c r="B28" s="4" t="s">
        <v>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46103</v>
      </c>
      <c r="B29" s="4" t="s">
        <v>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46104</v>
      </c>
      <c r="B30" s="4" t="s">
        <v>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46105</v>
      </c>
      <c r="B31" s="4" t="s">
        <v>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46106</v>
      </c>
      <c r="B32" s="4" t="s">
        <v>1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46107</v>
      </c>
      <c r="B33" s="4" t="s">
        <v>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46108</v>
      </c>
      <c r="B34" s="4" t="s">
        <v>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46109</v>
      </c>
      <c r="B35" s="4" t="s">
        <v>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>
        <v>46110</v>
      </c>
      <c r="B36" s="4" t="s">
        <v>5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46111</v>
      </c>
      <c r="B37" s="4" t="s">
        <v>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>
        <v>46112</v>
      </c>
      <c r="B38" s="4" t="s">
        <v>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</sheetData>
  <phoneticPr fontId="5" type="noConversion"/>
  <conditionalFormatting sqref="B8:B38">
    <cfRule type="containsText" dxfId="70" priority="9" operator="containsText" text="neděle">
      <formula>NOT(ISERROR(SEARCH("neděle",B8)))</formula>
    </cfRule>
    <cfRule type="containsText" dxfId="69" priority="10" operator="containsText" text="sobota">
      <formula>NOT(ISERROR(SEARCH("sobota",B8)))</formula>
    </cfRule>
    <cfRule type="cellIs" dxfId="68" priority="13" stopIfTrue="1" operator="equal">
      <formula>"neděle"</formula>
    </cfRule>
    <cfRule type="cellIs" dxfId="67" priority="14" stopIfTrue="1" operator="equal">
      <formula>"sobota"</formula>
    </cfRule>
  </conditionalFormatting>
  <conditionalFormatting sqref="S39">
    <cfRule type="cellIs" dxfId="66" priority="8" operator="greaterThan">
      <formula>25</formula>
    </cfRule>
  </conditionalFormatting>
  <conditionalFormatting sqref="T8:T38">
    <cfRule type="containsText" dxfId="65" priority="7" operator="containsText" text="svátek">
      <formula>NOT(ISERROR(SEARCH("svátek",T8)))</formula>
    </cfRule>
  </conditionalFormatting>
  <conditionalFormatting sqref="T41">
    <cfRule type="cellIs" dxfId="64" priority="1" operator="greaterThan">
      <formula>11999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0748-DE77-4BE8-9B07-8A59C6353265}">
  <dimension ref="A1:T190"/>
  <sheetViews>
    <sheetView topLeftCell="A3" workbookViewId="0">
      <selection activeCell="V30" sqref="V30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/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46113</v>
      </c>
      <c r="B8" s="4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46114</v>
      </c>
      <c r="B9" s="4" t="s">
        <v>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46115</v>
      </c>
      <c r="B10" s="4" t="s">
        <v>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 t="s">
        <v>26</v>
      </c>
    </row>
    <row r="11" spans="1:20" ht="15.95" customHeight="1">
      <c r="A11" s="8">
        <v>46116</v>
      </c>
      <c r="B11" s="4" t="s">
        <v>4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46117</v>
      </c>
      <c r="B12" s="4" t="s">
        <v>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46118</v>
      </c>
      <c r="B13" s="4" t="s">
        <v>6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 t="s">
        <v>26</v>
      </c>
    </row>
    <row r="14" spans="1:20" ht="15.95" customHeight="1">
      <c r="A14" s="8">
        <v>46119</v>
      </c>
      <c r="B14" s="4" t="s">
        <v>7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46120</v>
      </c>
      <c r="B15" s="4" t="s">
        <v>1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46121</v>
      </c>
      <c r="B16" s="4" t="s">
        <v>2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46122</v>
      </c>
      <c r="B17" s="4" t="s">
        <v>3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46123</v>
      </c>
      <c r="B18" s="4" t="s">
        <v>4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46124</v>
      </c>
      <c r="B19" s="4" t="s">
        <v>5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46125</v>
      </c>
      <c r="B20" s="4" t="s">
        <v>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46126</v>
      </c>
      <c r="B21" s="4" t="s">
        <v>7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46127</v>
      </c>
      <c r="B22" s="4" t="s">
        <v>1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46128</v>
      </c>
      <c r="B23" s="4" t="s">
        <v>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46129</v>
      </c>
      <c r="B24" s="4" t="s">
        <v>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46130</v>
      </c>
      <c r="B25" s="4" t="s">
        <v>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46131</v>
      </c>
      <c r="B26" s="4" t="s">
        <v>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46132</v>
      </c>
      <c r="B27" s="4" t="s">
        <v>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46133</v>
      </c>
      <c r="B28" s="4" t="s">
        <v>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46134</v>
      </c>
      <c r="B29" s="4" t="s">
        <v>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46135</v>
      </c>
      <c r="B30" s="4" t="s">
        <v>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46136</v>
      </c>
      <c r="B31" s="4" t="s">
        <v>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46137</v>
      </c>
      <c r="B32" s="4" t="s">
        <v>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46138</v>
      </c>
      <c r="B33" s="4" t="s">
        <v>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46139</v>
      </c>
      <c r="B34" s="4" t="s">
        <v>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46140</v>
      </c>
      <c r="B35" s="4" t="s">
        <v>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>
        <v>46141</v>
      </c>
      <c r="B36" s="4" t="s">
        <v>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46142</v>
      </c>
      <c r="B37" s="4" t="s">
        <v>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/>
      <c r="B38" s="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  <row r="110" ht="15.95" customHeight="1"/>
    <row r="111" ht="15.95" customHeight="1"/>
    <row r="112" ht="15.95" customHeight="1"/>
    <row r="113" ht="15.95" customHeight="1"/>
    <row r="114" ht="15.95" customHeight="1"/>
    <row r="115" ht="15.95" customHeight="1"/>
    <row r="116" ht="15.95" customHeight="1"/>
    <row r="117" ht="15.95" customHeight="1"/>
    <row r="118" ht="15.95" customHeight="1"/>
    <row r="119" ht="15.95" customHeight="1"/>
    <row r="120" ht="15.95" customHeight="1"/>
    <row r="121" ht="15.95" customHeight="1"/>
    <row r="122" ht="15.95" customHeight="1"/>
    <row r="123" ht="15.95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  <row r="140" ht="15.95" customHeight="1"/>
    <row r="141" ht="15.95" customHeight="1"/>
    <row r="142" ht="15.95" customHeight="1"/>
    <row r="143" ht="15.95" customHeight="1"/>
    <row r="144" ht="15.95" customHeight="1"/>
    <row r="145" ht="15.95" customHeight="1"/>
    <row r="146" ht="15.95" customHeight="1"/>
    <row r="147" ht="15.95" customHeight="1"/>
    <row r="148" ht="15.95" customHeight="1"/>
    <row r="149" ht="15.95" customHeight="1"/>
    <row r="150" ht="15.95" customHeight="1"/>
    <row r="151" ht="15.95" customHeight="1"/>
    <row r="152" ht="15.95" customHeight="1"/>
    <row r="153" ht="15.95" customHeight="1"/>
    <row r="154" ht="15.95" customHeight="1"/>
    <row r="155" ht="15.95" customHeight="1"/>
    <row r="156" ht="15.95" customHeight="1"/>
    <row r="157" ht="15.95" customHeight="1"/>
    <row r="158" ht="15.95" customHeight="1"/>
    <row r="159" ht="15.95" customHeight="1"/>
    <row r="160" ht="15.95" customHeight="1"/>
    <row r="161" ht="15.95" customHeight="1"/>
    <row r="162" ht="15.95" customHeight="1"/>
    <row r="163" ht="15.95" customHeight="1"/>
    <row r="164" ht="15.95" customHeight="1"/>
    <row r="165" ht="15.95" customHeight="1"/>
    <row r="166" ht="15.95" customHeight="1"/>
    <row r="167" ht="15.95" customHeight="1"/>
    <row r="168" ht="15.95" customHeight="1"/>
    <row r="169" ht="15.95" customHeight="1"/>
    <row r="170" ht="15.95" customHeight="1"/>
    <row r="171" ht="15.95" customHeight="1"/>
    <row r="172" ht="15.95" customHeight="1"/>
    <row r="173" ht="15.95" customHeight="1"/>
    <row r="174" ht="15.95" customHeight="1"/>
    <row r="175" ht="15.95" customHeight="1"/>
    <row r="176" ht="15.95" customHeight="1"/>
    <row r="177" ht="15.95" customHeight="1"/>
    <row r="178" ht="15.95" customHeight="1"/>
    <row r="179" ht="15.95" customHeight="1"/>
    <row r="180" ht="15.95" customHeight="1"/>
    <row r="181" ht="15.95" customHeight="1"/>
    <row r="182" ht="15.95" customHeight="1"/>
    <row r="183" ht="15.95" customHeight="1"/>
    <row r="184" ht="15.95" customHeight="1"/>
    <row r="185" ht="15.95" customHeight="1"/>
    <row r="186" ht="15.95" customHeight="1"/>
    <row r="187" ht="15.95" customHeight="1"/>
    <row r="188" ht="15.95" customHeight="1"/>
    <row r="189" ht="15.95" customHeight="1"/>
    <row r="190" ht="15.95" customHeight="1"/>
  </sheetData>
  <phoneticPr fontId="4" type="noConversion"/>
  <conditionalFormatting sqref="B8:B38">
    <cfRule type="containsText" dxfId="63" priority="9" operator="containsText" text="neděle">
      <formula>NOT(ISERROR(SEARCH("neděle",B8)))</formula>
    </cfRule>
    <cfRule type="containsText" dxfId="62" priority="10" operator="containsText" text="sobota">
      <formula>NOT(ISERROR(SEARCH("sobota",B8)))</formula>
    </cfRule>
    <cfRule type="cellIs" dxfId="61" priority="13" stopIfTrue="1" operator="equal">
      <formula>"neděle"</formula>
    </cfRule>
    <cfRule type="cellIs" dxfId="60" priority="14" stopIfTrue="1" operator="equal">
      <formula>"sobota"</formula>
    </cfRule>
  </conditionalFormatting>
  <conditionalFormatting sqref="S39">
    <cfRule type="cellIs" dxfId="59" priority="8" operator="greaterThan">
      <formula>25</formula>
    </cfRule>
  </conditionalFormatting>
  <conditionalFormatting sqref="T8:T38">
    <cfRule type="containsText" dxfId="58" priority="7" operator="containsText" text="svátek">
      <formula>NOT(ISERROR(SEARCH("svátek",T8)))</formula>
    </cfRule>
  </conditionalFormatting>
  <conditionalFormatting sqref="T41">
    <cfRule type="cellIs" dxfId="57" priority="1" operator="greaterThan">
      <formula>11999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CF28-A1BF-47ED-8686-A83F5FBE027E}">
  <dimension ref="A1:T139"/>
  <sheetViews>
    <sheetView topLeftCell="A3" workbookViewId="0">
      <selection activeCell="R36" sqref="R36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/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46143</v>
      </c>
      <c r="B8" s="4" t="s">
        <v>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 t="s">
        <v>26</v>
      </c>
    </row>
    <row r="9" spans="1:20" ht="15.95" customHeight="1">
      <c r="A9" s="8">
        <v>46144</v>
      </c>
      <c r="B9" s="4" t="s">
        <v>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46145</v>
      </c>
      <c r="B10" s="4" t="s">
        <v>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46146</v>
      </c>
      <c r="B11" s="4" t="s">
        <v>6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46147</v>
      </c>
      <c r="B12" s="4" t="s">
        <v>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46148</v>
      </c>
      <c r="B13" s="4" t="s">
        <v>1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46149</v>
      </c>
      <c r="B14" s="4" t="s">
        <v>2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46150</v>
      </c>
      <c r="B15" s="4" t="s">
        <v>3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 t="s">
        <v>26</v>
      </c>
    </row>
    <row r="16" spans="1:20" ht="15.95" customHeight="1">
      <c r="A16" s="8">
        <v>46151</v>
      </c>
      <c r="B16" s="4" t="s">
        <v>4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46152</v>
      </c>
      <c r="B17" s="4" t="s">
        <v>5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46153</v>
      </c>
      <c r="B18" s="4" t="s">
        <v>6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46154</v>
      </c>
      <c r="B19" s="4" t="s">
        <v>7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46155</v>
      </c>
      <c r="B20" s="4" t="s">
        <v>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46156</v>
      </c>
      <c r="B21" s="4" t="s">
        <v>2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46157</v>
      </c>
      <c r="B22" s="4" t="s">
        <v>3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46158</v>
      </c>
      <c r="B23" s="4" t="s">
        <v>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46159</v>
      </c>
      <c r="B24" s="4" t="s">
        <v>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46160</v>
      </c>
      <c r="B25" s="4" t="s">
        <v>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46161</v>
      </c>
      <c r="B26" s="4" t="s">
        <v>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46162</v>
      </c>
      <c r="B27" s="4" t="s">
        <v>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46163</v>
      </c>
      <c r="B28" s="4" t="s">
        <v>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46164</v>
      </c>
      <c r="B29" s="4" t="s">
        <v>3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46165</v>
      </c>
      <c r="B30" s="4" t="s">
        <v>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46166</v>
      </c>
      <c r="B31" s="4" t="s">
        <v>5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46167</v>
      </c>
      <c r="B32" s="4" t="s">
        <v>6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46168</v>
      </c>
      <c r="B33" s="4" t="s">
        <v>7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46169</v>
      </c>
      <c r="B34" s="4" t="s">
        <v>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46170</v>
      </c>
      <c r="B35" s="4" t="s">
        <v>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>
        <v>46171</v>
      </c>
      <c r="B36" s="4" t="s">
        <v>3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46172</v>
      </c>
      <c r="B37" s="4" t="s">
        <v>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>
        <v>46173</v>
      </c>
      <c r="B38" s="4" t="s">
        <v>5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  <row r="110" ht="15.95" customHeight="1"/>
    <row r="111" ht="15.95" customHeight="1"/>
    <row r="112" ht="15.95" customHeight="1"/>
    <row r="113" ht="15.95" customHeight="1"/>
    <row r="114" ht="15.95" customHeight="1"/>
    <row r="115" ht="15.95" customHeight="1"/>
    <row r="116" ht="15.95" customHeight="1"/>
    <row r="117" ht="15.95" customHeight="1"/>
    <row r="118" ht="15.95" customHeight="1"/>
    <row r="119" ht="15.95" customHeight="1"/>
    <row r="120" ht="15.95" customHeight="1"/>
    <row r="121" ht="15.95" customHeight="1"/>
    <row r="122" ht="15.95" customHeight="1"/>
    <row r="123" ht="15.95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</sheetData>
  <phoneticPr fontId="5" type="noConversion"/>
  <conditionalFormatting sqref="B8:B38">
    <cfRule type="containsText" dxfId="56" priority="9" operator="containsText" text="neděle">
      <formula>NOT(ISERROR(SEARCH("neděle",B8)))</formula>
    </cfRule>
    <cfRule type="containsText" dxfId="55" priority="10" operator="containsText" text="sobota">
      <formula>NOT(ISERROR(SEARCH("sobota",B8)))</formula>
    </cfRule>
    <cfRule type="cellIs" dxfId="54" priority="13" stopIfTrue="1" operator="equal">
      <formula>"neděle"</formula>
    </cfRule>
    <cfRule type="cellIs" dxfId="53" priority="14" stopIfTrue="1" operator="equal">
      <formula>"sobota"</formula>
    </cfRule>
  </conditionalFormatting>
  <conditionalFormatting sqref="S39">
    <cfRule type="cellIs" dxfId="52" priority="8" operator="greaterThan">
      <formula>25</formula>
    </cfRule>
  </conditionalFormatting>
  <conditionalFormatting sqref="T8:T38">
    <cfRule type="containsText" dxfId="51" priority="7" operator="containsText" text="svátek">
      <formula>NOT(ISERROR(SEARCH("svátek",T8)))</formula>
    </cfRule>
  </conditionalFormatting>
  <conditionalFormatting sqref="T41">
    <cfRule type="cellIs" dxfId="50" priority="1" operator="greaterThan">
      <formula>11999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7449-9BC0-47F2-985A-07B6013B9CEC}">
  <dimension ref="A1:T55"/>
  <sheetViews>
    <sheetView topLeftCell="A2" workbookViewId="0">
      <selection activeCell="U42" sqref="U42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/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46174</v>
      </c>
      <c r="B8" s="4" t="s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46175</v>
      </c>
      <c r="B9" s="4" t="s">
        <v>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46176</v>
      </c>
      <c r="B10" s="4" t="s">
        <v>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46177</v>
      </c>
      <c r="B11" s="4" t="s">
        <v>2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46178</v>
      </c>
      <c r="B12" s="4" t="s">
        <v>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46179</v>
      </c>
      <c r="B13" s="4" t="s">
        <v>4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46180</v>
      </c>
      <c r="B14" s="4" t="s">
        <v>5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46181</v>
      </c>
      <c r="B15" s="4" t="s">
        <v>6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46182</v>
      </c>
      <c r="B16" s="4" t="s">
        <v>7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46183</v>
      </c>
      <c r="B17" s="4" t="s">
        <v>1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46184</v>
      </c>
      <c r="B18" s="4" t="s">
        <v>2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46185</v>
      </c>
      <c r="B19" s="4" t="s">
        <v>3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46186</v>
      </c>
      <c r="B20" s="4" t="s">
        <v>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46187</v>
      </c>
      <c r="B21" s="4" t="s">
        <v>5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46188</v>
      </c>
      <c r="B22" s="4" t="s">
        <v>6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46189</v>
      </c>
      <c r="B23" s="4" t="s">
        <v>7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46190</v>
      </c>
      <c r="B24" s="4" t="s">
        <v>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46191</v>
      </c>
      <c r="B25" s="4" t="s">
        <v>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46192</v>
      </c>
      <c r="B26" s="4" t="s">
        <v>3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46193</v>
      </c>
      <c r="B27" s="4" t="s">
        <v>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46194</v>
      </c>
      <c r="B28" s="4" t="s">
        <v>5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46195</v>
      </c>
      <c r="B29" s="4" t="s">
        <v>6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46196</v>
      </c>
      <c r="B30" s="4" t="s">
        <v>7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46197</v>
      </c>
      <c r="B31" s="4" t="s">
        <v>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46198</v>
      </c>
      <c r="B32" s="4" t="s">
        <v>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46199</v>
      </c>
      <c r="B33" s="4" t="s">
        <v>3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46200</v>
      </c>
      <c r="B34" s="4" t="s">
        <v>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46201</v>
      </c>
      <c r="B35" s="4" t="s">
        <v>5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>
        <v>46202</v>
      </c>
      <c r="B36" s="4" t="s">
        <v>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46203</v>
      </c>
      <c r="B37" s="4" t="s">
        <v>7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/>
      <c r="B38" s="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</sheetData>
  <phoneticPr fontId="5" type="noConversion"/>
  <conditionalFormatting sqref="B8:B38">
    <cfRule type="containsText" dxfId="49" priority="9" operator="containsText" text="neděle">
      <formula>NOT(ISERROR(SEARCH("neděle",B8)))</formula>
    </cfRule>
    <cfRule type="containsText" dxfId="48" priority="10" operator="containsText" text="sobota">
      <formula>NOT(ISERROR(SEARCH("sobota",B8)))</formula>
    </cfRule>
    <cfRule type="cellIs" dxfId="47" priority="13" stopIfTrue="1" operator="equal">
      <formula>"neděle"</formula>
    </cfRule>
    <cfRule type="cellIs" dxfId="46" priority="14" stopIfTrue="1" operator="equal">
      <formula>"sobota"</formula>
    </cfRule>
  </conditionalFormatting>
  <conditionalFormatting sqref="B40">
    <cfRule type="cellIs" dxfId="45" priority="2" operator="greaterThan">
      <formula>11499</formula>
    </cfRule>
  </conditionalFormatting>
  <conditionalFormatting sqref="S39">
    <cfRule type="cellIs" dxfId="44" priority="8" operator="greaterThan">
      <formula>25</formula>
    </cfRule>
  </conditionalFormatting>
  <conditionalFormatting sqref="T8:T38">
    <cfRule type="containsText" dxfId="43" priority="7" operator="containsText" text="svátek">
      <formula>NOT(ISERROR(SEARCH("svátek",T8)))</formula>
    </cfRule>
  </conditionalFormatting>
  <conditionalFormatting sqref="T41">
    <cfRule type="cellIs" dxfId="42" priority="1" operator="greaterThan">
      <formula>11999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672E-E344-4C16-94A1-C7B5558FDFD7}">
  <dimension ref="A1:T145"/>
  <sheetViews>
    <sheetView topLeftCell="A3" workbookViewId="0">
      <selection activeCell="R37" sqref="R37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/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46204</v>
      </c>
      <c r="B8" s="4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46205</v>
      </c>
      <c r="B9" s="4" t="s">
        <v>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46206</v>
      </c>
      <c r="B10" s="4" t="s">
        <v>3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46207</v>
      </c>
      <c r="B11" s="4" t="s">
        <v>4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46208</v>
      </c>
      <c r="B12" s="4" t="s">
        <v>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 t="s">
        <v>26</v>
      </c>
    </row>
    <row r="13" spans="1:20" ht="15.95" customHeight="1">
      <c r="A13" s="8">
        <v>46209</v>
      </c>
      <c r="B13" s="4" t="s">
        <v>6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 t="s">
        <v>26</v>
      </c>
    </row>
    <row r="14" spans="1:20" ht="15.95" customHeight="1">
      <c r="A14" s="8">
        <v>46210</v>
      </c>
      <c r="B14" s="4" t="s">
        <v>7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46211</v>
      </c>
      <c r="B15" s="4" t="s">
        <v>1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46212</v>
      </c>
      <c r="B16" s="4" t="s">
        <v>2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46213</v>
      </c>
      <c r="B17" s="4" t="s">
        <v>3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46214</v>
      </c>
      <c r="B18" s="4" t="s">
        <v>4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46215</v>
      </c>
      <c r="B19" s="4" t="s">
        <v>5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46216</v>
      </c>
      <c r="B20" s="4" t="s">
        <v>6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46217</v>
      </c>
      <c r="B21" s="4" t="s">
        <v>7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46218</v>
      </c>
      <c r="B22" s="4" t="s">
        <v>1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46219</v>
      </c>
      <c r="B23" s="4" t="s">
        <v>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46220</v>
      </c>
      <c r="B24" s="4" t="s">
        <v>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46221</v>
      </c>
      <c r="B25" s="4" t="s">
        <v>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46222</v>
      </c>
      <c r="B26" s="4" t="s">
        <v>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46223</v>
      </c>
      <c r="B27" s="4" t="s">
        <v>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46224</v>
      </c>
      <c r="B28" s="4" t="s">
        <v>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46225</v>
      </c>
      <c r="B29" s="4" t="s">
        <v>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46226</v>
      </c>
      <c r="B30" s="4" t="s">
        <v>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46227</v>
      </c>
      <c r="B31" s="4" t="s">
        <v>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46228</v>
      </c>
      <c r="B32" s="4" t="s">
        <v>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46229</v>
      </c>
      <c r="B33" s="4" t="s">
        <v>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46230</v>
      </c>
      <c r="B34" s="4" t="s">
        <v>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46231</v>
      </c>
      <c r="B35" s="4" t="s">
        <v>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>
        <v>46232</v>
      </c>
      <c r="B36" s="4" t="s">
        <v>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46233</v>
      </c>
      <c r="B37" s="4" t="s">
        <v>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>
        <v>46234</v>
      </c>
      <c r="B38" s="4" t="s">
        <v>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  <row r="110" ht="15.95" customHeight="1"/>
    <row r="111" ht="15.95" customHeight="1"/>
    <row r="112" ht="15.95" customHeight="1"/>
    <row r="113" ht="15.95" customHeight="1"/>
    <row r="114" ht="15.95" customHeight="1"/>
    <row r="115" ht="15.95" customHeight="1"/>
    <row r="116" ht="15.95" customHeight="1"/>
    <row r="117" ht="15.95" customHeight="1"/>
    <row r="118" ht="15.95" customHeight="1"/>
    <row r="119" ht="15.95" customHeight="1"/>
    <row r="120" ht="15.95" customHeight="1"/>
    <row r="121" ht="15.95" customHeight="1"/>
    <row r="122" ht="15.95" customHeight="1"/>
    <row r="123" ht="15.95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  <row r="140" ht="15.95" customHeight="1"/>
    <row r="141" ht="15.95" customHeight="1"/>
    <row r="142" ht="15.95" customHeight="1"/>
    <row r="143" ht="15.95" customHeight="1"/>
    <row r="144" ht="15.95" customHeight="1"/>
    <row r="145" ht="15.95" customHeight="1"/>
  </sheetData>
  <phoneticPr fontId="4" type="noConversion"/>
  <conditionalFormatting sqref="B8:B38">
    <cfRule type="containsText" dxfId="41" priority="12" operator="containsText" text="neděle">
      <formula>NOT(ISERROR(SEARCH("neděle",B8)))</formula>
    </cfRule>
    <cfRule type="containsText" dxfId="40" priority="13" operator="containsText" text="sobota">
      <formula>NOT(ISERROR(SEARCH("sobota",B8)))</formula>
    </cfRule>
    <cfRule type="cellIs" dxfId="39" priority="16" stopIfTrue="1" operator="equal">
      <formula>"neděle"</formula>
    </cfRule>
    <cfRule type="cellIs" dxfId="38" priority="17" stopIfTrue="1" operator="equal">
      <formula>"sobota"</formula>
    </cfRule>
  </conditionalFormatting>
  <conditionalFormatting sqref="S39">
    <cfRule type="cellIs" dxfId="37" priority="11" operator="greaterThan">
      <formula>25</formula>
    </cfRule>
  </conditionalFormatting>
  <conditionalFormatting sqref="T8:T38">
    <cfRule type="containsText" dxfId="36" priority="10" operator="containsText" text="svátek">
      <formula>NOT(ISERROR(SEARCH("svátek",T8)))</formula>
    </cfRule>
  </conditionalFormatting>
  <conditionalFormatting sqref="T41">
    <cfRule type="cellIs" dxfId="35" priority="1" operator="greaterThan">
      <formula>11999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C84F-4717-4F41-A1AD-AAF5BAC98738}">
  <dimension ref="A1:T55"/>
  <sheetViews>
    <sheetView workbookViewId="0">
      <selection activeCell="R38" sqref="R38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/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46235</v>
      </c>
      <c r="B8" s="4" t="s">
        <v>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46236</v>
      </c>
      <c r="B9" s="4" t="s">
        <v>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46237</v>
      </c>
      <c r="B10" s="4" t="s">
        <v>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46238</v>
      </c>
      <c r="B11" s="4" t="s">
        <v>7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46239</v>
      </c>
      <c r="B12" s="4" t="s">
        <v>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46240</v>
      </c>
      <c r="B13" s="4" t="s">
        <v>2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46241</v>
      </c>
      <c r="B14" s="4" t="s">
        <v>3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46242</v>
      </c>
      <c r="B15" s="4" t="s">
        <v>4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46243</v>
      </c>
      <c r="B16" s="4" t="s">
        <v>5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46244</v>
      </c>
      <c r="B17" s="4" t="s">
        <v>6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46245</v>
      </c>
      <c r="B18" s="4" t="s">
        <v>7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46246</v>
      </c>
      <c r="B19" s="4" t="s">
        <v>1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46247</v>
      </c>
      <c r="B20" s="4" t="s">
        <v>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46248</v>
      </c>
      <c r="B21" s="4" t="s">
        <v>3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46249</v>
      </c>
      <c r="B22" s="4" t="s">
        <v>4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46250</v>
      </c>
      <c r="B23" s="4" t="s">
        <v>5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46251</v>
      </c>
      <c r="B24" s="4" t="s">
        <v>6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46252</v>
      </c>
      <c r="B25" s="4" t="s">
        <v>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46253</v>
      </c>
      <c r="B26" s="4" t="s">
        <v>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46254</v>
      </c>
      <c r="B27" s="4" t="s">
        <v>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46255</v>
      </c>
      <c r="B28" s="4" t="s">
        <v>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46256</v>
      </c>
      <c r="B29" s="4" t="s">
        <v>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46257</v>
      </c>
      <c r="B30" s="4" t="s">
        <v>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46258</v>
      </c>
      <c r="B31" s="4" t="s">
        <v>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46259</v>
      </c>
      <c r="B32" s="4" t="s">
        <v>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46260</v>
      </c>
      <c r="B33" s="4" t="s">
        <v>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46261</v>
      </c>
      <c r="B34" s="4" t="s">
        <v>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46262</v>
      </c>
      <c r="B35" s="4" t="s">
        <v>3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>
        <v>46263</v>
      </c>
      <c r="B36" s="4" t="s">
        <v>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46264</v>
      </c>
      <c r="B37" s="4" t="s">
        <v>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>
        <v>46265</v>
      </c>
      <c r="B38" s="4" t="s">
        <v>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</sheetData>
  <phoneticPr fontId="5" type="noConversion"/>
  <conditionalFormatting sqref="B8:B38">
    <cfRule type="containsText" dxfId="34" priority="9" operator="containsText" text="neděle">
      <formula>NOT(ISERROR(SEARCH("neděle",B8)))</formula>
    </cfRule>
    <cfRule type="containsText" dxfId="33" priority="10" operator="containsText" text="sobota">
      <formula>NOT(ISERROR(SEARCH("sobota",B8)))</formula>
    </cfRule>
    <cfRule type="cellIs" dxfId="32" priority="13" stopIfTrue="1" operator="equal">
      <formula>"neděle"</formula>
    </cfRule>
    <cfRule type="cellIs" dxfId="31" priority="14" stopIfTrue="1" operator="equal">
      <formula>"sobota"</formula>
    </cfRule>
  </conditionalFormatting>
  <conditionalFormatting sqref="S39">
    <cfRule type="cellIs" dxfId="30" priority="8" operator="greaterThan">
      <formula>25</formula>
    </cfRule>
  </conditionalFormatting>
  <conditionalFormatting sqref="T8:T38">
    <cfRule type="containsText" dxfId="29" priority="7" operator="containsText" text="svátek">
      <formula>NOT(ISERROR(SEARCH("svátek",T8)))</formula>
    </cfRule>
  </conditionalFormatting>
  <conditionalFormatting sqref="T41">
    <cfRule type="cellIs" dxfId="28" priority="1" operator="greaterThan">
      <formula>11999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393D-2162-4440-A018-D4D581612630}">
  <dimension ref="A1:T60"/>
  <sheetViews>
    <sheetView topLeftCell="A16" workbookViewId="0">
      <selection activeCell="V41" sqref="V41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/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46266</v>
      </c>
      <c r="B8" s="4" t="s">
        <v>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46267</v>
      </c>
      <c r="B9" s="4" t="s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46268</v>
      </c>
      <c r="B10" s="4" t="s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46269</v>
      </c>
      <c r="B11" s="4" t="s">
        <v>3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46270</v>
      </c>
      <c r="B12" s="4" t="s">
        <v>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46271</v>
      </c>
      <c r="B13" s="4" t="s">
        <v>5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46272</v>
      </c>
      <c r="B14" s="4" t="s">
        <v>6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46273</v>
      </c>
      <c r="B15" s="4" t="s">
        <v>7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46274</v>
      </c>
      <c r="B16" s="4" t="s">
        <v>1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46275</v>
      </c>
      <c r="B17" s="4" t="s">
        <v>2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46276</v>
      </c>
      <c r="B18" s="4" t="s">
        <v>3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46277</v>
      </c>
      <c r="B19" s="4" t="s">
        <v>4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46278</v>
      </c>
      <c r="B20" s="4" t="s">
        <v>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46279</v>
      </c>
      <c r="B21" s="4" t="s">
        <v>6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46280</v>
      </c>
      <c r="B22" s="4" t="s">
        <v>7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46281</v>
      </c>
      <c r="B23" s="4" t="s">
        <v>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46282</v>
      </c>
      <c r="B24" s="4" t="s">
        <v>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46283</v>
      </c>
      <c r="B25" s="4" t="s">
        <v>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46284</v>
      </c>
      <c r="B26" s="4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46285</v>
      </c>
      <c r="B27" s="4" t="s">
        <v>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46286</v>
      </c>
      <c r="B28" s="4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46287</v>
      </c>
      <c r="B29" s="4" t="s">
        <v>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46288</v>
      </c>
      <c r="B30" s="4" t="s">
        <v>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46289</v>
      </c>
      <c r="B31" s="4" t="s">
        <v>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46290</v>
      </c>
      <c r="B32" s="4" t="s">
        <v>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46291</v>
      </c>
      <c r="B33" s="4" t="s">
        <v>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46292</v>
      </c>
      <c r="B34" s="4" t="s">
        <v>5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46293</v>
      </c>
      <c r="B35" s="4" t="s">
        <v>6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 t="s">
        <v>26</v>
      </c>
    </row>
    <row r="36" spans="1:20" ht="15.95" customHeight="1">
      <c r="A36" s="8">
        <v>46294</v>
      </c>
      <c r="B36" s="4" t="s">
        <v>7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46295</v>
      </c>
      <c r="B37" s="4" t="s">
        <v>1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/>
      <c r="B38" s="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</sheetData>
  <phoneticPr fontId="5" type="noConversion"/>
  <conditionalFormatting sqref="B8:B38">
    <cfRule type="containsText" dxfId="27" priority="9" operator="containsText" text="neděle">
      <formula>NOT(ISERROR(SEARCH("neděle",B8)))</formula>
    </cfRule>
    <cfRule type="containsText" dxfId="26" priority="10" operator="containsText" text="sobota">
      <formula>NOT(ISERROR(SEARCH("sobota",B8)))</formula>
    </cfRule>
    <cfRule type="cellIs" dxfId="25" priority="13" stopIfTrue="1" operator="equal">
      <formula>"neděle"</formula>
    </cfRule>
    <cfRule type="cellIs" dxfId="24" priority="14" stopIfTrue="1" operator="equal">
      <formula>"sobota"</formula>
    </cfRule>
  </conditionalFormatting>
  <conditionalFormatting sqref="S39">
    <cfRule type="cellIs" dxfId="23" priority="8" operator="greaterThan">
      <formula>25</formula>
    </cfRule>
  </conditionalFormatting>
  <conditionalFormatting sqref="T8:T38">
    <cfRule type="containsText" dxfId="22" priority="7" operator="containsText" text="svátek">
      <formula>NOT(ISERROR(SEARCH("svátek",T8)))</formula>
    </cfRule>
  </conditionalFormatting>
  <conditionalFormatting sqref="T41">
    <cfRule type="cellIs" dxfId="21" priority="1" operator="greaterThan">
      <formula>11999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A2C1-250E-4ADB-8D4D-A9E0FC924F16}">
  <dimension ref="A1:T149"/>
  <sheetViews>
    <sheetView topLeftCell="A16" workbookViewId="0">
      <selection activeCell="R37" sqref="R37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/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46296</v>
      </c>
      <c r="B8" s="4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46297</v>
      </c>
      <c r="B9" s="4" t="s">
        <v>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46298</v>
      </c>
      <c r="B10" s="4" t="s">
        <v>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46299</v>
      </c>
      <c r="B11" s="4" t="s">
        <v>5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46300</v>
      </c>
      <c r="B12" s="4" t="s">
        <v>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46301</v>
      </c>
      <c r="B13" s="4" t="s">
        <v>7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46302</v>
      </c>
      <c r="B14" s="4" t="s">
        <v>1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46303</v>
      </c>
      <c r="B15" s="4" t="s">
        <v>2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46304</v>
      </c>
      <c r="B16" s="4" t="s">
        <v>3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46305</v>
      </c>
      <c r="B17" s="4" t="s">
        <v>4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46306</v>
      </c>
      <c r="B18" s="4" t="s">
        <v>5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46307</v>
      </c>
      <c r="B19" s="4" t="s">
        <v>6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46308</v>
      </c>
      <c r="B20" s="4" t="s">
        <v>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46309</v>
      </c>
      <c r="B21" s="4" t="s">
        <v>1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46310</v>
      </c>
      <c r="B22" s="4" t="s">
        <v>2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46311</v>
      </c>
      <c r="B23" s="4" t="s">
        <v>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46312</v>
      </c>
      <c r="B24" s="4" t="s">
        <v>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46313</v>
      </c>
      <c r="B25" s="4" t="s">
        <v>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46314</v>
      </c>
      <c r="B26" s="4" t="s">
        <v>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46315</v>
      </c>
      <c r="B27" s="4" t="s">
        <v>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46316</v>
      </c>
      <c r="B28" s="4" t="s">
        <v>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46317</v>
      </c>
      <c r="B29" s="4" t="s">
        <v>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46318</v>
      </c>
      <c r="B30" s="4" t="s">
        <v>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46319</v>
      </c>
      <c r="B31" s="4" t="s">
        <v>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46320</v>
      </c>
      <c r="B32" s="4" t="s">
        <v>5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46321</v>
      </c>
      <c r="B33" s="4" t="s">
        <v>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46322</v>
      </c>
      <c r="B34" s="4" t="s">
        <v>7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46323</v>
      </c>
      <c r="B35" s="4" t="s">
        <v>1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 t="s">
        <v>26</v>
      </c>
    </row>
    <row r="36" spans="1:20" ht="15.95" customHeight="1">
      <c r="A36" s="8">
        <v>46324</v>
      </c>
      <c r="B36" s="4" t="s">
        <v>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46325</v>
      </c>
      <c r="B37" s="4" t="s">
        <v>3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>
        <v>46326</v>
      </c>
      <c r="B38" s="4" t="s">
        <v>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  <row r="110" ht="15.95" customHeight="1"/>
    <row r="111" ht="15.95" customHeight="1"/>
    <row r="112" ht="15.95" customHeight="1"/>
    <row r="113" ht="15.95" customHeight="1"/>
    <row r="114" ht="15.95" customHeight="1"/>
    <row r="115" ht="15.95" customHeight="1"/>
    <row r="116" ht="15.95" customHeight="1"/>
    <row r="117" ht="15.95" customHeight="1"/>
    <row r="118" ht="15.95" customHeight="1"/>
    <row r="119" ht="15.95" customHeight="1"/>
    <row r="120" ht="15.95" customHeight="1"/>
    <row r="121" ht="15.95" customHeight="1"/>
    <row r="122" ht="15.95" customHeight="1"/>
    <row r="123" ht="15.95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  <row r="140" ht="15.95" customHeight="1"/>
    <row r="141" ht="15.95" customHeight="1"/>
    <row r="142" ht="15.95" customHeight="1"/>
    <row r="143" ht="15.95" customHeight="1"/>
    <row r="144" ht="15.95" customHeight="1"/>
    <row r="145" ht="15.95" customHeight="1"/>
    <row r="146" ht="15.95" customHeight="1"/>
    <row r="147" ht="15.95" customHeight="1"/>
    <row r="148" ht="15.95" customHeight="1"/>
    <row r="149" ht="15.95" customHeight="1"/>
  </sheetData>
  <phoneticPr fontId="5" type="noConversion"/>
  <conditionalFormatting sqref="B8:B38">
    <cfRule type="containsText" dxfId="20" priority="9" operator="containsText" text="neděle">
      <formula>NOT(ISERROR(SEARCH("neděle",B8)))</formula>
    </cfRule>
    <cfRule type="containsText" dxfId="19" priority="10" operator="containsText" text="sobota">
      <formula>NOT(ISERROR(SEARCH("sobota",B8)))</formula>
    </cfRule>
    <cfRule type="cellIs" dxfId="18" priority="13" stopIfTrue="1" operator="equal">
      <formula>"neděle"</formula>
    </cfRule>
    <cfRule type="cellIs" dxfId="17" priority="14" stopIfTrue="1" operator="equal">
      <formula>"sobota"</formula>
    </cfRule>
  </conditionalFormatting>
  <conditionalFormatting sqref="S39">
    <cfRule type="cellIs" dxfId="16" priority="8" operator="greaterThan">
      <formula>25</formula>
    </cfRule>
  </conditionalFormatting>
  <conditionalFormatting sqref="T8:T38">
    <cfRule type="containsText" dxfId="15" priority="7" operator="containsText" text="svátek">
      <formula>NOT(ISERROR(SEARCH("svátek",T8)))</formula>
    </cfRule>
  </conditionalFormatting>
  <conditionalFormatting sqref="T41">
    <cfRule type="cellIs" dxfId="14" priority="1" operator="greaterThan">
      <formula>11999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47EC-0BB9-45F9-9899-A21F94FD8D59}">
  <dimension ref="A1:T152"/>
  <sheetViews>
    <sheetView topLeftCell="A15" workbookViewId="0">
      <selection activeCell="V38" sqref="V38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/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46327</v>
      </c>
      <c r="B8" s="4" t="s">
        <v>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46328</v>
      </c>
      <c r="B9" s="4" t="s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46329</v>
      </c>
      <c r="B10" s="4" t="s">
        <v>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46330</v>
      </c>
      <c r="B11" s="4" t="s">
        <v>1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46331</v>
      </c>
      <c r="B12" s="4" t="s">
        <v>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46332</v>
      </c>
      <c r="B13" s="4" t="s">
        <v>3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46333</v>
      </c>
      <c r="B14" s="4" t="s">
        <v>4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46334</v>
      </c>
      <c r="B15" s="4" t="s">
        <v>5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46335</v>
      </c>
      <c r="B16" s="4" t="s">
        <v>6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46336</v>
      </c>
      <c r="B17" s="4" t="s">
        <v>7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46337</v>
      </c>
      <c r="B18" s="4" t="s">
        <v>1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46338</v>
      </c>
      <c r="B19" s="4" t="s">
        <v>2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46339</v>
      </c>
      <c r="B20" s="4" t="s">
        <v>3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46340</v>
      </c>
      <c r="B21" s="4" t="s">
        <v>4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46341</v>
      </c>
      <c r="B22" s="4" t="s">
        <v>5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46342</v>
      </c>
      <c r="B23" s="4" t="s">
        <v>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46343</v>
      </c>
      <c r="B24" s="4" t="s">
        <v>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 t="s">
        <v>26</v>
      </c>
    </row>
    <row r="25" spans="1:20" ht="15.95" customHeight="1">
      <c r="A25" s="8">
        <v>46344</v>
      </c>
      <c r="B25" s="4" t="s">
        <v>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46345</v>
      </c>
      <c r="B26" s="4" t="s">
        <v>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46346</v>
      </c>
      <c r="B27" s="4" t="s">
        <v>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46347</v>
      </c>
      <c r="B28" s="4" t="s">
        <v>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46348</v>
      </c>
      <c r="B29" s="4" t="s">
        <v>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46349</v>
      </c>
      <c r="B30" s="4" t="s">
        <v>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46350</v>
      </c>
      <c r="B31" s="4" t="s">
        <v>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/>
    </row>
    <row r="32" spans="1:20" ht="15.95" customHeight="1">
      <c r="A32" s="8">
        <v>46351</v>
      </c>
      <c r="B32" s="4" t="s">
        <v>1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/>
    </row>
    <row r="33" spans="1:20" ht="15.95" customHeight="1">
      <c r="A33" s="8">
        <v>46352</v>
      </c>
      <c r="B33" s="4" t="s">
        <v>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/>
    </row>
    <row r="34" spans="1:20" ht="15.95" customHeight="1">
      <c r="A34" s="8">
        <v>46353</v>
      </c>
      <c r="B34" s="4" t="s">
        <v>3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46354</v>
      </c>
      <c r="B35" s="4" t="s">
        <v>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>
        <v>46355</v>
      </c>
      <c r="B36" s="4" t="s">
        <v>5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46356</v>
      </c>
      <c r="B37" s="4" t="s">
        <v>6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/>
      <c r="B38" s="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  <row r="110" ht="15.95" customHeight="1"/>
    <row r="111" ht="15.95" customHeight="1"/>
    <row r="112" ht="15.95" customHeight="1"/>
    <row r="113" ht="15.95" customHeight="1"/>
    <row r="114" ht="15.95" customHeight="1"/>
    <row r="115" ht="15.95" customHeight="1"/>
    <row r="116" ht="15.95" customHeight="1"/>
    <row r="117" ht="15.95" customHeight="1"/>
    <row r="118" ht="15.95" customHeight="1"/>
    <row r="119" ht="15.95" customHeight="1"/>
    <row r="120" ht="15.95" customHeight="1"/>
    <row r="121" ht="15.95" customHeight="1"/>
    <row r="122" ht="15.95" customHeight="1"/>
    <row r="123" ht="15.95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  <row r="140" ht="15.95" customHeight="1"/>
    <row r="141" ht="15.95" customHeight="1"/>
    <row r="142" ht="15.95" customHeight="1"/>
    <row r="143" ht="15.95" customHeight="1"/>
    <row r="144" ht="15.95" customHeight="1"/>
    <row r="145" ht="15.95" customHeight="1"/>
    <row r="146" ht="15.95" customHeight="1"/>
    <row r="147" ht="15.95" customHeight="1"/>
    <row r="148" ht="15.95" customHeight="1"/>
    <row r="149" ht="15.95" customHeight="1"/>
    <row r="150" ht="15.95" customHeight="1"/>
    <row r="151" ht="15.95" customHeight="1"/>
    <row r="152" ht="15.95" customHeight="1"/>
  </sheetData>
  <phoneticPr fontId="5" type="noConversion"/>
  <conditionalFormatting sqref="B8:B38">
    <cfRule type="containsText" dxfId="13" priority="9" operator="containsText" text="neděle">
      <formula>NOT(ISERROR(SEARCH("neděle",B8)))</formula>
    </cfRule>
    <cfRule type="containsText" dxfId="12" priority="10" operator="containsText" text="sobota">
      <formula>NOT(ISERROR(SEARCH("sobota",B8)))</formula>
    </cfRule>
    <cfRule type="cellIs" dxfId="11" priority="13" stopIfTrue="1" operator="equal">
      <formula>"neděle"</formula>
    </cfRule>
    <cfRule type="cellIs" dxfId="10" priority="14" stopIfTrue="1" operator="equal">
      <formula>"sobota"</formula>
    </cfRule>
  </conditionalFormatting>
  <conditionalFormatting sqref="S39">
    <cfRule type="cellIs" dxfId="9" priority="8" operator="greaterThan">
      <formula>25</formula>
    </cfRule>
  </conditionalFormatting>
  <conditionalFormatting sqref="T8:T38">
    <cfRule type="containsText" dxfId="8" priority="7" operator="containsText" text="svátek">
      <formula>NOT(ISERROR(SEARCH("svátek",T8)))</formula>
    </cfRule>
  </conditionalFormatting>
  <conditionalFormatting sqref="T41">
    <cfRule type="cellIs" dxfId="7" priority="1" operator="greaterThan">
      <formula>11999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97AC-C759-42D0-90CB-03BB4F890E32}">
  <dimension ref="A1:T63"/>
  <sheetViews>
    <sheetView tabSelected="1" topLeftCell="A21" workbookViewId="0">
      <selection activeCell="R37" sqref="R37"/>
    </sheetView>
  </sheetViews>
  <sheetFormatPr defaultRowHeight="12.75"/>
  <cols>
    <col min="1" max="1" width="10.140625" bestFit="1" customWidth="1"/>
    <col min="2" max="2" width="7.42578125" customWidth="1"/>
    <col min="3" max="18" width="3.28515625" customWidth="1"/>
    <col min="19" max="19" width="4.7109375" customWidth="1"/>
    <col min="20" max="20" width="13.7109375" customWidth="1"/>
  </cols>
  <sheetData>
    <row r="1" spans="1:20" ht="15.95" customHeight="1">
      <c r="A1" s="18" t="s">
        <v>29</v>
      </c>
      <c r="B1" s="18"/>
      <c r="C1" s="18"/>
      <c r="D1" s="18"/>
      <c r="E1" s="18"/>
    </row>
    <row r="2" spans="1:20" ht="15.95" customHeight="1">
      <c r="A2" s="18"/>
      <c r="B2" s="18"/>
      <c r="C2" s="18"/>
      <c r="D2" s="18"/>
      <c r="E2" s="18"/>
    </row>
    <row r="3" spans="1:20" ht="15.95" customHeight="1">
      <c r="A3" s="2" t="s">
        <v>27</v>
      </c>
    </row>
    <row r="4" spans="1:20" ht="15.95" customHeight="1">
      <c r="A4" s="2"/>
    </row>
    <row r="5" spans="1:20" ht="15.95" customHeight="1">
      <c r="A5" s="2" t="s">
        <v>28</v>
      </c>
    </row>
    <row r="6" spans="1:20" ht="15.95" customHeight="1"/>
    <row r="7" spans="1:20" ht="15.95" customHeight="1">
      <c r="A7" s="5" t="s">
        <v>22</v>
      </c>
      <c r="B7" s="5" t="s">
        <v>0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24</v>
      </c>
      <c r="R7" s="6" t="s">
        <v>25</v>
      </c>
      <c r="S7" s="7" t="s">
        <v>23</v>
      </c>
      <c r="T7" s="3"/>
    </row>
    <row r="8" spans="1:20" ht="15.95" customHeight="1">
      <c r="A8" s="8">
        <v>46357</v>
      </c>
      <c r="B8" s="4" t="s">
        <v>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9">
        <f>SUM(C8:R8)</f>
        <v>0</v>
      </c>
      <c r="T8" s="3"/>
    </row>
    <row r="9" spans="1:20" ht="15.95" customHeight="1">
      <c r="A9" s="8">
        <v>46358</v>
      </c>
      <c r="B9" s="4" t="s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9">
        <f t="shared" ref="S9:S38" si="0">SUM(C9:R9)</f>
        <v>0</v>
      </c>
      <c r="T9" s="3"/>
    </row>
    <row r="10" spans="1:20" ht="15.95" customHeight="1">
      <c r="A10" s="8">
        <v>46359</v>
      </c>
      <c r="B10" s="4" t="s">
        <v>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9">
        <f t="shared" si="0"/>
        <v>0</v>
      </c>
      <c r="T10" s="3"/>
    </row>
    <row r="11" spans="1:20" ht="15.95" customHeight="1">
      <c r="A11" s="8">
        <v>46360</v>
      </c>
      <c r="B11" s="4" t="s">
        <v>3</v>
      </c>
      <c r="C11" s="12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3"/>
      <c r="Q11" s="13"/>
      <c r="R11" s="13"/>
      <c r="S11" s="9">
        <f t="shared" si="0"/>
        <v>0</v>
      </c>
      <c r="T11" s="3"/>
    </row>
    <row r="12" spans="1:20" ht="15.95" customHeight="1">
      <c r="A12" s="8">
        <v>46361</v>
      </c>
      <c r="B12" s="4" t="s">
        <v>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9">
        <f t="shared" si="0"/>
        <v>0</v>
      </c>
      <c r="T12" s="3"/>
    </row>
    <row r="13" spans="1:20" ht="15.95" customHeight="1">
      <c r="A13" s="8">
        <v>46362</v>
      </c>
      <c r="B13" s="4" t="s">
        <v>5</v>
      </c>
      <c r="C13" s="12"/>
      <c r="D13" s="12"/>
      <c r="E13" s="12"/>
      <c r="F13" s="12"/>
      <c r="G13" s="12"/>
      <c r="H13" s="12"/>
      <c r="I13" s="12"/>
      <c r="J13" s="12"/>
      <c r="K13" s="15"/>
      <c r="L13" s="15"/>
      <c r="M13" s="15"/>
      <c r="N13" s="15"/>
      <c r="O13" s="15"/>
      <c r="P13" s="13"/>
      <c r="Q13" s="13"/>
      <c r="R13" s="13"/>
      <c r="S13" s="9">
        <f t="shared" si="0"/>
        <v>0</v>
      </c>
      <c r="T13" s="3"/>
    </row>
    <row r="14" spans="1:20" ht="15.95" customHeight="1">
      <c r="A14" s="8">
        <v>46363</v>
      </c>
      <c r="B14" s="4" t="s">
        <v>6</v>
      </c>
      <c r="C14" s="12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3"/>
      <c r="Q14" s="13"/>
      <c r="R14" s="13"/>
      <c r="S14" s="9">
        <f t="shared" si="0"/>
        <v>0</v>
      </c>
      <c r="T14" s="3"/>
    </row>
    <row r="15" spans="1:20" ht="15.95" customHeight="1">
      <c r="A15" s="8">
        <v>46364</v>
      </c>
      <c r="B15" s="4" t="s">
        <v>7</v>
      </c>
      <c r="C15" s="12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3"/>
      <c r="Q15" s="13"/>
      <c r="R15" s="13"/>
      <c r="S15" s="9">
        <f t="shared" si="0"/>
        <v>0</v>
      </c>
      <c r="T15" s="3"/>
    </row>
    <row r="16" spans="1:20" ht="15.95" customHeight="1">
      <c r="A16" s="8">
        <v>46365</v>
      </c>
      <c r="B16" s="4" t="s">
        <v>1</v>
      </c>
      <c r="C16" s="12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3"/>
      <c r="Q16" s="13"/>
      <c r="R16" s="13"/>
      <c r="S16" s="9">
        <f t="shared" si="0"/>
        <v>0</v>
      </c>
      <c r="T16" s="3"/>
    </row>
    <row r="17" spans="1:20" ht="15.95" customHeight="1">
      <c r="A17" s="8">
        <v>46366</v>
      </c>
      <c r="B17" s="4" t="s">
        <v>2</v>
      </c>
      <c r="C17" s="12"/>
      <c r="D17" s="12"/>
      <c r="E17" s="12"/>
      <c r="F17" s="12"/>
      <c r="G17" s="12"/>
      <c r="H17" s="12"/>
      <c r="I17" s="14"/>
      <c r="J17" s="14"/>
      <c r="K17" s="12"/>
      <c r="L17" s="12"/>
      <c r="M17" s="12"/>
      <c r="N17" s="12"/>
      <c r="O17" s="12"/>
      <c r="P17" s="13"/>
      <c r="Q17" s="13"/>
      <c r="R17" s="13"/>
      <c r="S17" s="9">
        <f t="shared" si="0"/>
        <v>0</v>
      </c>
      <c r="T17" s="3"/>
    </row>
    <row r="18" spans="1:20" ht="15.95" customHeight="1">
      <c r="A18" s="8">
        <v>46367</v>
      </c>
      <c r="B18" s="4" t="s">
        <v>3</v>
      </c>
      <c r="C18" s="12"/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3"/>
      <c r="Q18" s="13"/>
      <c r="R18" s="13"/>
      <c r="S18" s="9">
        <f t="shared" si="0"/>
        <v>0</v>
      </c>
      <c r="T18" s="3"/>
    </row>
    <row r="19" spans="1:20" ht="15.95" customHeight="1">
      <c r="A19" s="8">
        <v>46368</v>
      </c>
      <c r="B19" s="4" t="s">
        <v>4</v>
      </c>
      <c r="C19" s="12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3"/>
      <c r="Q19" s="13"/>
      <c r="R19" s="13"/>
      <c r="S19" s="9">
        <f t="shared" si="0"/>
        <v>0</v>
      </c>
      <c r="T19" s="3"/>
    </row>
    <row r="20" spans="1:20" ht="15.95" customHeight="1">
      <c r="A20" s="8">
        <v>46369</v>
      </c>
      <c r="B20" s="4" t="s">
        <v>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9">
        <f t="shared" si="0"/>
        <v>0</v>
      </c>
      <c r="T20" s="3"/>
    </row>
    <row r="21" spans="1:20" ht="15.95" customHeight="1">
      <c r="A21" s="8">
        <v>46370</v>
      </c>
      <c r="B21" s="4" t="s">
        <v>6</v>
      </c>
      <c r="C21" s="12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3"/>
      <c r="Q21" s="13"/>
      <c r="R21" s="13"/>
      <c r="S21" s="9">
        <f t="shared" si="0"/>
        <v>0</v>
      </c>
      <c r="T21" s="3"/>
    </row>
    <row r="22" spans="1:20" ht="15.95" customHeight="1">
      <c r="A22" s="8">
        <v>46371</v>
      </c>
      <c r="B22" s="4" t="s">
        <v>7</v>
      </c>
      <c r="C22" s="12"/>
      <c r="D22" s="12"/>
      <c r="E22" s="12"/>
      <c r="F22" s="12"/>
      <c r="G22" s="12"/>
      <c r="H22" s="12"/>
      <c r="I22" s="12"/>
      <c r="J22" s="12"/>
      <c r="K22" s="16"/>
      <c r="L22" s="16"/>
      <c r="M22" s="16"/>
      <c r="N22" s="16"/>
      <c r="O22" s="16"/>
      <c r="P22" s="13"/>
      <c r="Q22" s="13"/>
      <c r="R22" s="13"/>
      <c r="S22" s="9">
        <f t="shared" si="0"/>
        <v>0</v>
      </c>
      <c r="T22" s="3"/>
    </row>
    <row r="23" spans="1:20" ht="15.95" customHeight="1">
      <c r="A23" s="8">
        <v>46372</v>
      </c>
      <c r="B23" s="4" t="s">
        <v>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9">
        <f t="shared" si="0"/>
        <v>0</v>
      </c>
      <c r="T23" s="3"/>
    </row>
    <row r="24" spans="1:20" ht="15.95" customHeight="1">
      <c r="A24" s="8">
        <v>46373</v>
      </c>
      <c r="B24" s="4" t="s">
        <v>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9">
        <f t="shared" si="0"/>
        <v>0</v>
      </c>
      <c r="T24" s="3"/>
    </row>
    <row r="25" spans="1:20" ht="15.95" customHeight="1">
      <c r="A25" s="8">
        <v>46374</v>
      </c>
      <c r="B25" s="4" t="s">
        <v>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9">
        <f t="shared" si="0"/>
        <v>0</v>
      </c>
      <c r="T25" s="3"/>
    </row>
    <row r="26" spans="1:20" ht="15.95" customHeight="1">
      <c r="A26" s="8">
        <v>46375</v>
      </c>
      <c r="B26" s="4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9">
        <f t="shared" si="0"/>
        <v>0</v>
      </c>
      <c r="T26" s="3"/>
    </row>
    <row r="27" spans="1:20" ht="15.95" customHeight="1">
      <c r="A27" s="8">
        <v>46376</v>
      </c>
      <c r="B27" s="4" t="s">
        <v>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9">
        <f t="shared" si="0"/>
        <v>0</v>
      </c>
      <c r="T27" s="3"/>
    </row>
    <row r="28" spans="1:20" ht="15.95" customHeight="1">
      <c r="A28" s="8">
        <v>46377</v>
      </c>
      <c r="B28" s="4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9">
        <f t="shared" si="0"/>
        <v>0</v>
      </c>
      <c r="T28" s="3"/>
    </row>
    <row r="29" spans="1:20" ht="15.95" customHeight="1">
      <c r="A29" s="8">
        <v>46378</v>
      </c>
      <c r="B29" s="4" t="s">
        <v>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9">
        <f t="shared" si="0"/>
        <v>0</v>
      </c>
      <c r="T29" s="3"/>
    </row>
    <row r="30" spans="1:20" ht="15.95" customHeight="1">
      <c r="A30" s="8">
        <v>46379</v>
      </c>
      <c r="B30" s="4" t="s">
        <v>1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9">
        <f t="shared" si="0"/>
        <v>0</v>
      </c>
      <c r="T30" s="3"/>
    </row>
    <row r="31" spans="1:20" ht="15.95" customHeight="1">
      <c r="A31" s="8">
        <v>46380</v>
      </c>
      <c r="B31" s="4" t="s">
        <v>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9">
        <f t="shared" si="0"/>
        <v>0</v>
      </c>
      <c r="T31" s="3" t="s">
        <v>26</v>
      </c>
    </row>
    <row r="32" spans="1:20" ht="15.95" customHeight="1">
      <c r="A32" s="8">
        <v>46381</v>
      </c>
      <c r="B32" s="4" t="s">
        <v>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9">
        <f t="shared" si="0"/>
        <v>0</v>
      </c>
      <c r="T32" s="3" t="s">
        <v>26</v>
      </c>
    </row>
    <row r="33" spans="1:20" ht="15.95" customHeight="1">
      <c r="A33" s="8">
        <v>46382</v>
      </c>
      <c r="B33" s="4" t="s">
        <v>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9">
        <f t="shared" si="0"/>
        <v>0</v>
      </c>
      <c r="T33" s="3" t="s">
        <v>26</v>
      </c>
    </row>
    <row r="34" spans="1:20" ht="15.95" customHeight="1">
      <c r="A34" s="8">
        <v>46383</v>
      </c>
      <c r="B34" s="4" t="s">
        <v>5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9">
        <f t="shared" si="0"/>
        <v>0</v>
      </c>
      <c r="T34" s="3"/>
    </row>
    <row r="35" spans="1:20" ht="15.95" customHeight="1">
      <c r="A35" s="8">
        <v>46384</v>
      </c>
      <c r="B35" s="4" t="s">
        <v>6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2"/>
      <c r="Q35" s="12"/>
      <c r="R35" s="12"/>
      <c r="S35" s="9">
        <f t="shared" si="0"/>
        <v>0</v>
      </c>
      <c r="T35" s="3"/>
    </row>
    <row r="36" spans="1:20" ht="15.95" customHeight="1">
      <c r="A36" s="8">
        <v>46385</v>
      </c>
      <c r="B36" s="4" t="s">
        <v>7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">
        <f t="shared" si="0"/>
        <v>0</v>
      </c>
      <c r="T36" s="3"/>
    </row>
    <row r="37" spans="1:20" ht="15.95" customHeight="1">
      <c r="A37" s="8">
        <v>46386</v>
      </c>
      <c r="B37" s="4" t="s">
        <v>1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">
        <f t="shared" si="0"/>
        <v>0</v>
      </c>
      <c r="T37" s="3"/>
    </row>
    <row r="38" spans="1:20" ht="15.95" customHeight="1">
      <c r="A38" s="8">
        <v>46387</v>
      </c>
      <c r="B38" s="4" t="s">
        <v>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">
        <f t="shared" si="0"/>
        <v>0</v>
      </c>
      <c r="T38" s="3"/>
    </row>
    <row r="39" spans="1:20" ht="15.95" customHeight="1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0">
        <f>SUM(S8:S38)</f>
        <v>0</v>
      </c>
      <c r="T39" s="2"/>
    </row>
    <row r="40" spans="1:20" ht="15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1" t="s">
        <v>33</v>
      </c>
      <c r="T40" s="19">
        <v>470</v>
      </c>
    </row>
    <row r="41" spans="1:20" ht="15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1" t="s">
        <v>34</v>
      </c>
      <c r="T41" s="17">
        <f>S39*T40</f>
        <v>0</v>
      </c>
    </row>
    <row r="42" spans="1:20" ht="15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95" customHeight="1">
      <c r="A43" s="2" t="s">
        <v>30</v>
      </c>
      <c r="M43" s="2" t="s">
        <v>32</v>
      </c>
    </row>
    <row r="44" spans="1:20" ht="15.95" customHeight="1">
      <c r="A44" s="2"/>
    </row>
    <row r="45" spans="1:20" ht="15.95" customHeight="1">
      <c r="A45" s="2" t="s">
        <v>31</v>
      </c>
      <c r="M45" s="2" t="s">
        <v>32</v>
      </c>
    </row>
    <row r="46" spans="1:20" ht="15.95" customHeight="1"/>
    <row r="47" spans="1:20" ht="15.95" customHeight="1"/>
    <row r="48" spans="1:2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</sheetData>
  <phoneticPr fontId="5" type="noConversion"/>
  <conditionalFormatting sqref="B8:B38">
    <cfRule type="containsText" dxfId="6" priority="9" operator="containsText" text="neděle">
      <formula>NOT(ISERROR(SEARCH("neděle",B8)))</formula>
    </cfRule>
    <cfRule type="containsText" dxfId="5" priority="10" operator="containsText" text="sobota">
      <formula>NOT(ISERROR(SEARCH("sobota",B8)))</formula>
    </cfRule>
    <cfRule type="cellIs" dxfId="4" priority="13" stopIfTrue="1" operator="equal">
      <formula>"neděle"</formula>
    </cfRule>
    <cfRule type="cellIs" dxfId="3" priority="14" stopIfTrue="1" operator="equal">
      <formula>"sobota"</formula>
    </cfRule>
  </conditionalFormatting>
  <conditionalFormatting sqref="S39">
    <cfRule type="cellIs" dxfId="2" priority="8" operator="greaterThan">
      <formula>25</formula>
    </cfRule>
  </conditionalFormatting>
  <conditionalFormatting sqref="T8:T38">
    <cfRule type="containsText" dxfId="1" priority="7" operator="containsText" text="svátek">
      <formula>NOT(ISERROR(SEARCH("svátek",T8)))</formula>
    </cfRule>
  </conditionalFormatting>
  <conditionalFormatting sqref="T41">
    <cfRule type="cellIs" dxfId="0" priority="1" operator="greaterThan">
      <formula>11999</formula>
    </cfRule>
  </conditionalFormatting>
  <pageMargins left="0.7" right="0.7" top="0.78740157499999996" bottom="0.78740157499999996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7008-B898-4CC4-AFB1-212979EB91B3}">
  <dimension ref="A1:D26"/>
  <sheetViews>
    <sheetView workbookViewId="0">
      <selection activeCell="H14" sqref="H14"/>
    </sheetView>
  </sheetViews>
  <sheetFormatPr defaultRowHeight="12.75"/>
  <sheetData>
    <row r="1" spans="1:4" ht="15.95" customHeight="1">
      <c r="A1" s="2" t="s">
        <v>43</v>
      </c>
      <c r="D1" s="20">
        <f>'01'!S39+'02'!S39+'03'!S39+'04'!S39+'05'!S39+'06'!S39+'07'!S39+'08'!S39+'09'!S39+'10'!S39+'11'!S39+'12'!S39</f>
        <v>25</v>
      </c>
    </row>
    <row r="2" spans="1:4" ht="15.95" customHeight="1"/>
    <row r="3" spans="1:4" ht="15.95" customHeight="1">
      <c r="A3" s="2" t="s">
        <v>37</v>
      </c>
    </row>
    <row r="4" spans="1:4" ht="15.95" customHeight="1">
      <c r="A4" s="2" t="s">
        <v>38</v>
      </c>
    </row>
    <row r="5" spans="1:4" ht="15.95" customHeight="1">
      <c r="A5" s="2" t="s">
        <v>35</v>
      </c>
    </row>
    <row r="6" spans="1:4" ht="15.95" customHeight="1">
      <c r="A6" s="2" t="s">
        <v>45</v>
      </c>
    </row>
    <row r="7" spans="1:4" ht="15.95" customHeight="1">
      <c r="A7" s="2" t="s">
        <v>44</v>
      </c>
    </row>
    <row r="8" spans="1:4" ht="15.95" customHeight="1">
      <c r="A8" s="2" t="s">
        <v>47</v>
      </c>
    </row>
    <row r="9" spans="1:4" ht="15.95" customHeight="1">
      <c r="A9" s="2" t="s">
        <v>48</v>
      </c>
    </row>
    <row r="10" spans="1:4" ht="15.95" customHeight="1">
      <c r="A10" s="2" t="s">
        <v>36</v>
      </c>
    </row>
    <row r="11" spans="1:4" ht="15.95" customHeight="1"/>
    <row r="12" spans="1:4" ht="15.95" customHeight="1">
      <c r="A12" s="2" t="s">
        <v>39</v>
      </c>
    </row>
    <row r="13" spans="1:4" ht="15.95" customHeight="1">
      <c r="A13" s="2" t="s">
        <v>41</v>
      </c>
    </row>
    <row r="14" spans="1:4" ht="15.95" customHeight="1">
      <c r="A14" s="2" t="s">
        <v>40</v>
      </c>
    </row>
    <row r="15" spans="1:4" ht="15.95" customHeight="1"/>
    <row r="16" spans="1:4" ht="15.95" customHeight="1">
      <c r="A16" s="2" t="s">
        <v>42</v>
      </c>
    </row>
    <row r="17" spans="1:1" ht="15.95" customHeight="1">
      <c r="A17" s="2" t="s">
        <v>46</v>
      </c>
    </row>
    <row r="18" spans="1:1" ht="15.95" customHeight="1"/>
    <row r="19" spans="1:1" ht="15.95" customHeight="1"/>
    <row r="20" spans="1:1" ht="15.95" customHeight="1"/>
    <row r="21" spans="1:1" ht="15.95" customHeight="1"/>
    <row r="22" spans="1:1" ht="15.95" customHeight="1"/>
    <row r="23" spans="1:1" ht="15.95" customHeight="1"/>
    <row r="24" spans="1:1" ht="15.95" customHeight="1"/>
    <row r="25" spans="1:1" ht="15.95" customHeight="1"/>
    <row r="26" spans="1:1" ht="15.95" customHeight="1"/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13</vt:i4>
      </vt:variant>
    </vt:vector>
  </HeadingPairs>
  <TitlesOfParts>
    <vt:vector size="13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legenda</vt:lpstr>
    </vt:vector>
  </TitlesOfParts>
  <Company>Ing. Radim Pavelek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Radim Pavelek</dc:creator>
  <cp:lastModifiedBy>Renata Pavelek</cp:lastModifiedBy>
  <cp:lastPrinted>2024-01-04T15:04:37Z</cp:lastPrinted>
  <dcterms:created xsi:type="dcterms:W3CDTF">2008-02-13T08:50:09Z</dcterms:created>
  <dcterms:modified xsi:type="dcterms:W3CDTF">2025-12-01T18:02:44Z</dcterms:modified>
</cp:coreProperties>
</file>